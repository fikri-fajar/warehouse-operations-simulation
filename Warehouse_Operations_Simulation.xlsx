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Upgrade skill\1. Excel - Data Analytics\Project\"/>
    </mc:Choice>
  </mc:AlternateContent>
  <xr:revisionPtr revIDLastSave="0" documentId="13_ncr:1_{A6CDDEEB-D45E-4976-89BF-D84E4B641118}" xr6:coauthVersionLast="47" xr6:coauthVersionMax="47" xr10:uidLastSave="{00000000-0000-0000-0000-000000000000}"/>
  <bookViews>
    <workbookView xWindow="-120" yWindow="-120" windowWidth="21840" windowHeight="13140" tabRatio="500" xr2:uid="{00000000-000D-0000-FFFF-FFFF00000000}"/>
  </bookViews>
  <sheets>
    <sheet name="01_Master_Material" sheetId="1" r:id="rId1"/>
    <sheet name="02_Master_Supplier" sheetId="2" r:id="rId2"/>
    <sheet name="03_Master_Location" sheetId="3" r:id="rId3"/>
    <sheet name="04_Purchase_Order" sheetId="4" r:id="rId4"/>
    <sheet name="05_Goods_Receipt" sheetId="5" r:id="rId5"/>
    <sheet name="06_Put_Away" sheetId="6" r:id="rId6"/>
    <sheet name="07_Material_Request" sheetId="7" r:id="rId7"/>
    <sheet name="08_Picking_List" sheetId="8" r:id="rId8"/>
    <sheet name="09_Goods_Issue" sheetId="9" r:id="rId9"/>
    <sheet name="10_Stock_Card" sheetId="10" r:id="rId10"/>
    <sheet name="11_Cycle_Count" sheetId="11" r:id="rId11"/>
    <sheet name="12_Dashboard"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58" i="12" l="1"/>
  <c r="B56" i="12"/>
  <c r="B55" i="12"/>
  <c r="C52" i="12"/>
  <c r="B52" i="12"/>
  <c r="C51" i="12"/>
  <c r="B51" i="12"/>
  <c r="C50" i="12"/>
  <c r="B50" i="12"/>
  <c r="C49" i="12"/>
  <c r="B49" i="12"/>
  <c r="C48" i="12"/>
  <c r="B48" i="12"/>
  <c r="C47" i="12"/>
  <c r="B47" i="12"/>
  <c r="C46" i="12"/>
  <c r="B46" i="12"/>
  <c r="C45" i="12"/>
  <c r="B45" i="12"/>
  <c r="C44" i="12"/>
  <c r="B44" i="12"/>
  <c r="C43" i="12"/>
  <c r="B43" i="12"/>
  <c r="C42" i="12"/>
  <c r="B42" i="12"/>
  <c r="F37" i="12"/>
  <c r="B37" i="12"/>
  <c r="F36" i="12"/>
  <c r="B36" i="12"/>
  <c r="F35" i="12"/>
  <c r="B35" i="12"/>
  <c r="F34" i="12"/>
  <c r="B34" i="12"/>
  <c r="F33" i="12"/>
  <c r="B33" i="12"/>
  <c r="C27" i="12"/>
  <c r="B27" i="12"/>
  <c r="C26" i="12"/>
  <c r="B26" i="12"/>
  <c r="D25" i="12"/>
  <c r="C25" i="12"/>
  <c r="B25" i="12"/>
  <c r="D24" i="12"/>
  <c r="C24" i="12"/>
  <c r="B24" i="12"/>
  <c r="C23" i="12"/>
  <c r="B23" i="12"/>
  <c r="D22" i="12"/>
  <c r="C22" i="12"/>
  <c r="B22" i="12"/>
  <c r="M8" i="11"/>
  <c r="F8" i="11"/>
  <c r="E8" i="11"/>
  <c r="M7" i="11"/>
  <c r="F7" i="11"/>
  <c r="E7" i="11"/>
  <c r="M6" i="11"/>
  <c r="F6" i="11"/>
  <c r="E6" i="11"/>
  <c r="M5" i="11"/>
  <c r="F5" i="11"/>
  <c r="E5" i="11"/>
  <c r="M4" i="11"/>
  <c r="F4" i="11"/>
  <c r="E4" i="11"/>
  <c r="K13" i="10"/>
  <c r="F13" i="10"/>
  <c r="L12" i="10"/>
  <c r="F12" i="10"/>
  <c r="K11" i="10"/>
  <c r="F11" i="10"/>
  <c r="L10" i="10"/>
  <c r="F10" i="10"/>
  <c r="K9" i="10"/>
  <c r="F9" i="10"/>
  <c r="K8" i="10"/>
  <c r="F8" i="10"/>
  <c r="L7" i="10"/>
  <c r="F7" i="10"/>
  <c r="L6" i="10"/>
  <c r="F6" i="10"/>
  <c r="K5" i="10"/>
  <c r="F5" i="10"/>
  <c r="L4" i="10"/>
  <c r="F4" i="10"/>
  <c r="Q8" i="9"/>
  <c r="F8" i="9"/>
  <c r="Q7" i="9"/>
  <c r="F7" i="9"/>
  <c r="Q6" i="9"/>
  <c r="F6" i="9"/>
  <c r="Q5" i="9"/>
  <c r="F5" i="9"/>
  <c r="Q4" i="9"/>
  <c r="F4" i="9"/>
  <c r="T8" i="8"/>
  <c r="F8" i="8"/>
  <c r="T7" i="8"/>
  <c r="F7" i="8"/>
  <c r="T6" i="8"/>
  <c r="J6" i="8"/>
  <c r="F6" i="8"/>
  <c r="G6" i="8" s="1"/>
  <c r="T5" i="8"/>
  <c r="L6" i="9" s="1"/>
  <c r="N6" i="9" s="1"/>
  <c r="F5" i="8"/>
  <c r="T4" i="8"/>
  <c r="J4" i="8"/>
  <c r="F4" i="8"/>
  <c r="G4" i="8" s="1"/>
  <c r="Q8" i="7"/>
  <c r="J8" i="8" s="1"/>
  <c r="G8" i="7"/>
  <c r="F8" i="7"/>
  <c r="Q7" i="7"/>
  <c r="G7" i="7"/>
  <c r="F7" i="7"/>
  <c r="Q6" i="7"/>
  <c r="G6" i="7"/>
  <c r="F6" i="7"/>
  <c r="Q5" i="7"/>
  <c r="G5" i="7"/>
  <c r="F5" i="7"/>
  <c r="Q4" i="7"/>
  <c r="G4" i="7"/>
  <c r="F4" i="7"/>
  <c r="V8" i="6"/>
  <c r="P8" i="6"/>
  <c r="F8" i="6"/>
  <c r="V7" i="6"/>
  <c r="P7" i="6"/>
  <c r="F7" i="6"/>
  <c r="V6" i="6"/>
  <c r="P6" i="6"/>
  <c r="F6" i="6"/>
  <c r="S6" i="6" s="1"/>
  <c r="T6" i="6" s="1"/>
  <c r="V5" i="6"/>
  <c r="P5" i="6"/>
  <c r="F5" i="6"/>
  <c r="V4" i="6"/>
  <c r="P4" i="6"/>
  <c r="F4" i="6"/>
  <c r="Z8" i="5"/>
  <c r="X8" i="5"/>
  <c r="P8" i="5"/>
  <c r="O8" i="5"/>
  <c r="K8" i="5"/>
  <c r="J8" i="5"/>
  <c r="V8" i="5" s="1"/>
  <c r="W8" i="5" s="1"/>
  <c r="H8" i="5"/>
  <c r="I8" i="5" s="1"/>
  <c r="G8" i="5"/>
  <c r="F8" i="5"/>
  <c r="Z7" i="5"/>
  <c r="X7" i="5" s="1"/>
  <c r="P7" i="5"/>
  <c r="O7" i="5"/>
  <c r="J7" i="5"/>
  <c r="V7" i="5" s="1"/>
  <c r="W7" i="5" s="1"/>
  <c r="G7" i="5"/>
  <c r="F7" i="5"/>
  <c r="Z6" i="5"/>
  <c r="O6" i="5"/>
  <c r="P6" i="5" s="1"/>
  <c r="H6" i="5"/>
  <c r="I6" i="5" s="1"/>
  <c r="F6" i="5"/>
  <c r="Z5" i="5"/>
  <c r="X5" i="5" s="1"/>
  <c r="O5" i="5"/>
  <c r="P5" i="5" s="1"/>
  <c r="H5" i="5"/>
  <c r="I5" i="5" s="1"/>
  <c r="G5" i="5"/>
  <c r="F5" i="5"/>
  <c r="K5" i="5" s="1"/>
  <c r="Z4" i="5"/>
  <c r="X4" i="5" s="1"/>
  <c r="P4" i="5"/>
  <c r="O4" i="5"/>
  <c r="B6" i="12" s="1"/>
  <c r="K4" i="5"/>
  <c r="F4" i="5"/>
  <c r="V13" i="4"/>
  <c r="T13" i="4"/>
  <c r="Q13" i="4"/>
  <c r="R13" i="4" s="1"/>
  <c r="T8" i="5" s="1"/>
  <c r="U8" i="5" s="1"/>
  <c r="L13" i="4"/>
  <c r="M13" i="4" s="1"/>
  <c r="N13" i="4" s="1"/>
  <c r="O13" i="4" s="1"/>
  <c r="K13" i="4"/>
  <c r="H13" i="4"/>
  <c r="G13" i="4"/>
  <c r="E13" i="4"/>
  <c r="V12" i="4"/>
  <c r="T12" i="4"/>
  <c r="Q12" i="4"/>
  <c r="R12" i="4" s="1"/>
  <c r="L12" i="4"/>
  <c r="M12" i="4" s="1"/>
  <c r="N12" i="4" s="1"/>
  <c r="O12" i="4" s="1"/>
  <c r="K12" i="4"/>
  <c r="D23" i="12" s="1"/>
  <c r="H12" i="4"/>
  <c r="G12" i="4"/>
  <c r="E12" i="4"/>
  <c r="V11" i="4"/>
  <c r="T11" i="4"/>
  <c r="Q11" i="4"/>
  <c r="R11" i="4" s="1"/>
  <c r="L11" i="4"/>
  <c r="M11" i="4" s="1"/>
  <c r="N11" i="4" s="1"/>
  <c r="O11" i="4" s="1"/>
  <c r="K11" i="4"/>
  <c r="H11" i="4"/>
  <c r="G11" i="4"/>
  <c r="E11" i="4"/>
  <c r="V10" i="4"/>
  <c r="T10" i="4"/>
  <c r="Q10" i="4"/>
  <c r="R10" i="4" s="1"/>
  <c r="L10" i="4"/>
  <c r="M10" i="4" s="1"/>
  <c r="N10" i="4" s="1"/>
  <c r="O10" i="4" s="1"/>
  <c r="K10" i="4"/>
  <c r="D27" i="12" s="1"/>
  <c r="H10" i="4"/>
  <c r="G10" i="4"/>
  <c r="E10" i="4"/>
  <c r="V9" i="4"/>
  <c r="T9" i="4"/>
  <c r="Q9" i="4"/>
  <c r="R9" i="4" s="1"/>
  <c r="L9" i="4"/>
  <c r="M9" i="4" s="1"/>
  <c r="N9" i="4" s="1"/>
  <c r="O9" i="4" s="1"/>
  <c r="K9" i="4"/>
  <c r="H9" i="4"/>
  <c r="G9" i="4"/>
  <c r="E9" i="4"/>
  <c r="V8" i="4"/>
  <c r="T8" i="4"/>
  <c r="Q8" i="4"/>
  <c r="R8" i="4" s="1"/>
  <c r="L8" i="4"/>
  <c r="M8" i="4" s="1"/>
  <c r="N8" i="4" s="1"/>
  <c r="O8" i="4" s="1"/>
  <c r="K8" i="4"/>
  <c r="H8" i="4"/>
  <c r="G8" i="4"/>
  <c r="E8" i="4"/>
  <c r="V7" i="4"/>
  <c r="T7" i="4"/>
  <c r="Q7" i="4"/>
  <c r="R7" i="4" s="1"/>
  <c r="L7" i="4"/>
  <c r="M7" i="4" s="1"/>
  <c r="N7" i="4" s="1"/>
  <c r="O7" i="4" s="1"/>
  <c r="K7" i="4"/>
  <c r="H7" i="4"/>
  <c r="G7" i="4"/>
  <c r="E7" i="4"/>
  <c r="V6" i="4"/>
  <c r="T6" i="4"/>
  <c r="Q6" i="4"/>
  <c r="R6" i="4" s="1"/>
  <c r="L6" i="4"/>
  <c r="M6" i="4" s="1"/>
  <c r="N6" i="4" s="1"/>
  <c r="O6" i="4" s="1"/>
  <c r="K6" i="4"/>
  <c r="D26" i="12" s="1"/>
  <c r="H6" i="4"/>
  <c r="G6" i="4"/>
  <c r="E6" i="4"/>
  <c r="V5" i="4"/>
  <c r="T5" i="4"/>
  <c r="Q5" i="4"/>
  <c r="R5" i="4" s="1"/>
  <c r="T5" i="5" s="1"/>
  <c r="U5" i="5" s="1"/>
  <c r="L5" i="4"/>
  <c r="M5" i="4" s="1"/>
  <c r="N5" i="4" s="1"/>
  <c r="O5" i="4" s="1"/>
  <c r="K5" i="4"/>
  <c r="H5" i="4"/>
  <c r="L5" i="5" s="1"/>
  <c r="G5" i="4"/>
  <c r="E5" i="4"/>
  <c r="V4" i="4"/>
  <c r="T4" i="4"/>
  <c r="Q4" i="4"/>
  <c r="R4" i="4" s="1"/>
  <c r="T4" i="5" s="1"/>
  <c r="U4" i="5" s="1"/>
  <c r="L4" i="4"/>
  <c r="M4" i="4" s="1"/>
  <c r="N4" i="4" s="1"/>
  <c r="O4" i="4" s="1"/>
  <c r="K4" i="4"/>
  <c r="B4" i="12" s="1"/>
  <c r="H4" i="4"/>
  <c r="G4" i="4"/>
  <c r="E4" i="4"/>
  <c r="D28" i="12" l="1"/>
  <c r="T7" i="5"/>
  <c r="U7" i="5" s="1"/>
  <c r="B7" i="12"/>
  <c r="K5" i="8"/>
  <c r="J5" i="8"/>
  <c r="G5" i="8"/>
  <c r="K7" i="8"/>
  <c r="J7" i="8"/>
  <c r="G7" i="8"/>
  <c r="G4" i="9"/>
  <c r="L4" i="9"/>
  <c r="N4" i="9" s="1"/>
  <c r="G6" i="9"/>
  <c r="H4" i="5"/>
  <c r="I4" i="5" s="1"/>
  <c r="J4" i="5"/>
  <c r="V4" i="5" s="1"/>
  <c r="W4" i="5" s="1"/>
  <c r="S4" i="6"/>
  <c r="T4" i="6" s="1"/>
  <c r="G4" i="6"/>
  <c r="L6" i="8" s="1"/>
  <c r="G5" i="6"/>
  <c r="X6" i="5"/>
  <c r="J7" i="10"/>
  <c r="J12" i="10"/>
  <c r="J4" i="10"/>
  <c r="G7" i="10"/>
  <c r="S5" i="6"/>
  <c r="T5" i="6" s="1"/>
  <c r="I5" i="8"/>
  <c r="I7" i="8"/>
  <c r="G6" i="10"/>
  <c r="J6" i="10"/>
  <c r="B15" i="12"/>
  <c r="B18" i="12"/>
  <c r="B17" i="12"/>
  <c r="B16" i="12"/>
  <c r="G4" i="5"/>
  <c r="J6" i="5"/>
  <c r="V6" i="5" s="1"/>
  <c r="W6" i="5" s="1"/>
  <c r="T6" i="5"/>
  <c r="U6" i="5" s="1"/>
  <c r="G6" i="5"/>
  <c r="L6" i="5"/>
  <c r="J6" i="6" s="1"/>
  <c r="K6" i="5"/>
  <c r="K7" i="5"/>
  <c r="H7" i="5"/>
  <c r="I7" i="5" s="1"/>
  <c r="L7" i="5"/>
  <c r="J7" i="6" s="1"/>
  <c r="I4" i="6"/>
  <c r="I8" i="6"/>
  <c r="L11" i="10"/>
  <c r="M11" i="10" s="1"/>
  <c r="I5" i="6"/>
  <c r="G6" i="6"/>
  <c r="I6" i="6"/>
  <c r="S7" i="6"/>
  <c r="T7" i="6" s="1"/>
  <c r="I7" i="6"/>
  <c r="G8" i="6"/>
  <c r="G12" i="10" s="1"/>
  <c r="G7" i="9"/>
  <c r="L7" i="9"/>
  <c r="N7" i="9" s="1"/>
  <c r="L4" i="5"/>
  <c r="J4" i="6" s="1"/>
  <c r="L8" i="5"/>
  <c r="J8" i="6" s="1"/>
  <c r="J5" i="6"/>
  <c r="H4" i="8"/>
  <c r="H6" i="8"/>
  <c r="G8" i="8"/>
  <c r="G8" i="9" s="1"/>
  <c r="K7" i="9"/>
  <c r="J10" i="10"/>
  <c r="G5" i="10"/>
  <c r="L5" i="10"/>
  <c r="M5" i="10" s="1"/>
  <c r="D29" i="12"/>
  <c r="J5" i="5"/>
  <c r="V5" i="5" s="1"/>
  <c r="W5" i="5" s="1"/>
  <c r="S8" i="6"/>
  <c r="T8" i="6" s="1"/>
  <c r="K5" i="9"/>
  <c r="L13" i="10"/>
  <c r="M13" i="10" s="1"/>
  <c r="I4" i="8"/>
  <c r="K4" i="9" s="1"/>
  <c r="I6" i="8"/>
  <c r="K6" i="9" s="1"/>
  <c r="I8" i="8"/>
  <c r="L5" i="9"/>
  <c r="N5" i="9" s="1"/>
  <c r="L8" i="10"/>
  <c r="M8" i="10" s="1"/>
  <c r="K4" i="8"/>
  <c r="K6" i="8"/>
  <c r="K8" i="8"/>
  <c r="K8" i="9"/>
  <c r="G5" i="9"/>
  <c r="L8" i="9"/>
  <c r="N8" i="9" s="1"/>
  <c r="G8" i="10"/>
  <c r="L9" i="10"/>
  <c r="M9" i="10" s="1"/>
  <c r="B5" i="12" l="1"/>
  <c r="I12" i="10"/>
  <c r="H12" i="10"/>
  <c r="O12" i="10"/>
  <c r="M6" i="8"/>
  <c r="J6" i="9"/>
  <c r="J5" i="10" s="1"/>
  <c r="I8" i="9"/>
  <c r="H8" i="9"/>
  <c r="G13" i="10"/>
  <c r="Q8" i="8"/>
  <c r="N5" i="6"/>
  <c r="Q5" i="6" s="1"/>
  <c r="R5" i="6" s="1"/>
  <c r="K5" i="6"/>
  <c r="H5" i="6"/>
  <c r="M5" i="6"/>
  <c r="Q6" i="8"/>
  <c r="M4" i="6"/>
  <c r="N4" i="6"/>
  <c r="Q4" i="6" s="1"/>
  <c r="K4" i="6"/>
  <c r="H4" i="6"/>
  <c r="L4" i="7"/>
  <c r="H4" i="9"/>
  <c r="L6" i="7"/>
  <c r="L7" i="7"/>
  <c r="L5" i="7"/>
  <c r="L8" i="7"/>
  <c r="I4" i="9"/>
  <c r="Q5" i="8"/>
  <c r="Q4" i="8"/>
  <c r="L4" i="6"/>
  <c r="H6" i="10"/>
  <c r="O6" i="10"/>
  <c r="I6" i="10"/>
  <c r="L4" i="8"/>
  <c r="B8" i="12"/>
  <c r="H5" i="10"/>
  <c r="O5" i="10"/>
  <c r="I5" i="10"/>
  <c r="H7" i="8"/>
  <c r="L7" i="8"/>
  <c r="H6" i="6"/>
  <c r="N6" i="6"/>
  <c r="Q6" i="6" s="1"/>
  <c r="R6" i="6" s="1"/>
  <c r="M6" i="6"/>
  <c r="K6" i="6"/>
  <c r="L6" i="6" s="1"/>
  <c r="G7" i="6"/>
  <c r="H7" i="9"/>
  <c r="I7" i="9"/>
  <c r="G11" i="10"/>
  <c r="L5" i="6"/>
  <c r="K7" i="10" s="1"/>
  <c r="M7" i="10" s="1"/>
  <c r="G4" i="10"/>
  <c r="I8" i="10"/>
  <c r="O8" i="10"/>
  <c r="H8" i="10"/>
  <c r="I5" i="9"/>
  <c r="H5" i="9"/>
  <c r="L8" i="8"/>
  <c r="H8" i="8"/>
  <c r="G9" i="10"/>
  <c r="Q7" i="8"/>
  <c r="H8" i="6"/>
  <c r="N8" i="6"/>
  <c r="Q8" i="6" s="1"/>
  <c r="R8" i="6" s="1"/>
  <c r="M8" i="6"/>
  <c r="K8" i="6"/>
  <c r="L8" i="6" s="1"/>
  <c r="I7" i="10"/>
  <c r="O7" i="10"/>
  <c r="H7" i="10"/>
  <c r="I6" i="9"/>
  <c r="H6" i="9"/>
  <c r="H5" i="8"/>
  <c r="L5" i="8"/>
  <c r="N5" i="8" l="1"/>
  <c r="O5" i="8" s="1"/>
  <c r="K8" i="7"/>
  <c r="M8" i="7" s="1"/>
  <c r="N8" i="7" s="1"/>
  <c r="K12" i="10"/>
  <c r="M12" i="10" s="1"/>
  <c r="N8" i="8"/>
  <c r="O8" i="8" s="1"/>
  <c r="G6" i="11"/>
  <c r="H4" i="10"/>
  <c r="O4" i="10"/>
  <c r="I4" i="10"/>
  <c r="K6" i="10"/>
  <c r="M6" i="10" s="1"/>
  <c r="N8" i="10" s="1"/>
  <c r="P8" i="10" s="1"/>
  <c r="N4" i="8"/>
  <c r="O4" i="8" s="1"/>
  <c r="R4" i="6"/>
  <c r="I11" i="10"/>
  <c r="H11" i="10"/>
  <c r="O11" i="10"/>
  <c r="B9" i="12"/>
  <c r="J8" i="9"/>
  <c r="J13" i="10" s="1"/>
  <c r="M8" i="8"/>
  <c r="N6" i="8"/>
  <c r="O6" i="8" s="1"/>
  <c r="K4" i="10"/>
  <c r="M4" i="10" s="1"/>
  <c r="N4" i="10" s="1"/>
  <c r="K6" i="7"/>
  <c r="M6" i="7" s="1"/>
  <c r="N6" i="7" s="1"/>
  <c r="M5" i="8"/>
  <c r="J5" i="9"/>
  <c r="J9" i="10" s="1"/>
  <c r="M7" i="8"/>
  <c r="J7" i="9"/>
  <c r="J11" i="10" s="1"/>
  <c r="M4" i="8"/>
  <c r="J4" i="9"/>
  <c r="J8" i="10" s="1"/>
  <c r="K5" i="7"/>
  <c r="M5" i="7" s="1"/>
  <c r="N5" i="7" s="1"/>
  <c r="N7" i="10"/>
  <c r="P7" i="10" s="1"/>
  <c r="H7" i="6"/>
  <c r="M7" i="6"/>
  <c r="N7" i="6"/>
  <c r="Q7" i="6" s="1"/>
  <c r="R7" i="6" s="1"/>
  <c r="K7" i="6"/>
  <c r="L7" i="6" s="1"/>
  <c r="G10" i="10"/>
  <c r="G4" i="11" s="1"/>
  <c r="N6" i="10"/>
  <c r="P6" i="10" s="1"/>
  <c r="O9" i="10"/>
  <c r="N9" i="10"/>
  <c r="I9" i="10"/>
  <c r="H9" i="10"/>
  <c r="K4" i="7"/>
  <c r="M4" i="7" s="1"/>
  <c r="N4" i="7" s="1"/>
  <c r="N5" i="10"/>
  <c r="P5" i="10" s="1"/>
  <c r="H13" i="10"/>
  <c r="O13" i="10"/>
  <c r="I13" i="10"/>
  <c r="N12" i="10"/>
  <c r="P12" i="10" s="1"/>
  <c r="P4" i="10" l="1"/>
  <c r="P9" i="10"/>
  <c r="I4" i="11"/>
  <c r="K4" i="11" s="1"/>
  <c r="H4" i="11"/>
  <c r="G7" i="11"/>
  <c r="C35" i="12"/>
  <c r="H6" i="11"/>
  <c r="I6" i="11"/>
  <c r="K6" i="11" s="1"/>
  <c r="N13" i="10"/>
  <c r="P13" i="10" s="1"/>
  <c r="C34" i="12"/>
  <c r="C33" i="12"/>
  <c r="C37" i="12"/>
  <c r="I10" i="10"/>
  <c r="H10" i="10"/>
  <c r="O10" i="10"/>
  <c r="K10" i="10"/>
  <c r="M10" i="10" s="1"/>
  <c r="N11" i="10" s="1"/>
  <c r="P11" i="10" s="1"/>
  <c r="N7" i="8"/>
  <c r="O7" i="8" s="1"/>
  <c r="K7" i="7"/>
  <c r="M7" i="7" s="1"/>
  <c r="N7" i="7" s="1"/>
  <c r="B57" i="12" s="1"/>
  <c r="B59" i="12"/>
  <c r="G8" i="11"/>
  <c r="G5" i="11"/>
  <c r="C36" i="12"/>
  <c r="E36" i="12" l="1"/>
  <c r="D36" i="12"/>
  <c r="G36" i="12" s="1"/>
  <c r="N10" i="10"/>
  <c r="P10" i="10" s="1"/>
  <c r="L6" i="11"/>
  <c r="O6" i="11"/>
  <c r="N6" i="11"/>
  <c r="I5" i="11"/>
  <c r="K5" i="11" s="1"/>
  <c r="H5" i="11"/>
  <c r="I8" i="11"/>
  <c r="K8" i="11" s="1"/>
  <c r="H8" i="11"/>
  <c r="I7" i="11"/>
  <c r="K7" i="11" s="1"/>
  <c r="H7" i="11"/>
  <c r="E35" i="12"/>
  <c r="D35" i="12"/>
  <c r="G35" i="12" s="1"/>
  <c r="E37" i="12"/>
  <c r="D37" i="12"/>
  <c r="G37" i="12" s="1"/>
  <c r="E33" i="12"/>
  <c r="D33" i="12"/>
  <c r="G33" i="12" s="1"/>
  <c r="D34" i="12"/>
  <c r="G34" i="12" s="1"/>
  <c r="E34" i="12"/>
  <c r="O4" i="11"/>
  <c r="L4" i="11"/>
  <c r="N4" i="11"/>
  <c r="N5" i="11" l="1"/>
  <c r="O5" i="11"/>
  <c r="L5" i="11"/>
  <c r="O7" i="11"/>
  <c r="N7" i="11"/>
  <c r="L7" i="11"/>
  <c r="G38" i="12"/>
  <c r="B11" i="12" s="1"/>
  <c r="D51" i="12"/>
  <c r="E51" i="12" s="1"/>
  <c r="D49" i="12"/>
  <c r="E49" i="12" s="1"/>
  <c r="D47" i="12"/>
  <c r="E47" i="12" s="1"/>
  <c r="D45" i="12"/>
  <c r="E45" i="12" s="1"/>
  <c r="D43" i="12"/>
  <c r="E43" i="12" s="1"/>
  <c r="D52" i="12"/>
  <c r="E52" i="12" s="1"/>
  <c r="D50" i="12"/>
  <c r="E50" i="12" s="1"/>
  <c r="D48" i="12"/>
  <c r="E48" i="12" s="1"/>
  <c r="D46" i="12"/>
  <c r="E46" i="12" s="1"/>
  <c r="D44" i="12"/>
  <c r="E44" i="12" s="1"/>
  <c r="D42" i="12"/>
  <c r="E42" i="12" s="1"/>
  <c r="O8" i="11"/>
  <c r="L8" i="11"/>
  <c r="N8" i="11"/>
  <c r="B10" i="12" l="1"/>
  <c r="B60" i="12"/>
</calcChain>
</file>

<file path=xl/sharedStrings.xml><?xml version="1.0" encoding="utf-8"?>
<sst xmlns="http://schemas.openxmlformats.org/spreadsheetml/2006/main" count="999" uniqueCount="544">
  <si>
    <t>01_MASTER_MATERIAL  |  Warehouse Operations in a Heavy Equipment Manufacturing Environment</t>
  </si>
  <si>
    <t>Material Code</t>
  </si>
  <si>
    <t>Material Description</t>
  </si>
  <si>
    <t>Material Group</t>
  </si>
  <si>
    <t>Base UoM</t>
  </si>
  <si>
    <t>Purchase UoM</t>
  </si>
  <si>
    <t>Primary Supplier Code</t>
  </si>
  <si>
    <t>Standard Cost (per Base UoM)</t>
  </si>
  <si>
    <t>Criticality Flag</t>
  </si>
  <si>
    <t>Storage/Handling Class</t>
  </si>
  <si>
    <t>Min Stock Level</t>
  </si>
  <si>
    <t>Max Stock Level</t>
  </si>
  <si>
    <t>Lead Time (Days)</t>
  </si>
  <si>
    <t>Status</t>
  </si>
  <si>
    <t>MAT-00001</t>
  </si>
  <si>
    <t>Hydraulic Cylinder Seal Kit 80mm</t>
  </si>
  <si>
    <t>Hydraulic Components</t>
  </si>
  <si>
    <t>PCS</t>
  </si>
  <si>
    <t>SUP-0012</t>
  </si>
  <si>
    <t>Critical Spare</t>
  </si>
  <si>
    <t>Standard</t>
  </si>
  <si>
    <t>Active</t>
  </si>
  <si>
    <t>MAT-00002</t>
  </si>
  <si>
    <t>Steel Plate 10mm x 2m x 1m</t>
  </si>
  <si>
    <t>SUP-0005</t>
  </si>
  <si>
    <t>Heavy/Bulk</t>
  </si>
  <si>
    <t>MAT-00003</t>
  </si>
  <si>
    <t>Engine Oil Filter (Cat 320D)</t>
  </si>
  <si>
    <t>SUP-0021</t>
  </si>
  <si>
    <t>MAT-00004</t>
  </si>
  <si>
    <t>Hex Bolt M12x50 Grade 8.8</t>
  </si>
  <si>
    <t>Fasteners</t>
  </si>
  <si>
    <t>SUP-0009</t>
  </si>
  <si>
    <t>MAT-00005</t>
  </si>
  <si>
    <t>Industrial Degreaser 20L</t>
  </si>
  <si>
    <t>Consumables</t>
  </si>
  <si>
    <t>LTR</t>
  </si>
  <si>
    <t>SUP-0014</t>
  </si>
  <si>
    <t>Hazardous</t>
  </si>
  <si>
    <t>MAT-00006</t>
  </si>
  <si>
    <t>MAT-00007</t>
  </si>
  <si>
    <t>Air Filter Element - Primary</t>
  </si>
  <si>
    <t>MAT-00008</t>
  </si>
  <si>
    <t>Hydraulic Hose 1/2in x 3m</t>
  </si>
  <si>
    <t>MAT-00009</t>
  </si>
  <si>
    <t>Grease Cartridge NLGI2 400g</t>
  </si>
  <si>
    <t>MAT-00010</t>
  </si>
  <si>
    <t>Welding Electrode E7018 3.2mm</t>
  </si>
  <si>
    <t>KG</t>
  </si>
  <si>
    <t>MAT-00011</t>
  </si>
  <si>
    <t>Final Drive Motor (Excavator PC200)</t>
  </si>
  <si>
    <t>SUP-0033</t>
  </si>
  <si>
    <t>MAT-00012</t>
  </si>
  <si>
    <t>Bucket Teeth (CAT style)</t>
  </si>
  <si>
    <t>MAT-00013</t>
  </si>
  <si>
    <t>Radiator Coolant 20L</t>
  </si>
  <si>
    <t>MAT-00014</t>
  </si>
  <si>
    <t>Flat Washer M12 Zinc Plated</t>
  </si>
  <si>
    <t>MAT-00015</t>
  </si>
  <si>
    <t>Turbocharger Assembly (Cat C15)</t>
  </si>
  <si>
    <t>MAT-00016</t>
  </si>
  <si>
    <t>V-Belt A-Section 1250mm</t>
  </si>
  <si>
    <t>MAT-00017</t>
  </si>
  <si>
    <t>Steel I-Beam 6m Length</t>
  </si>
  <si>
    <t>MAT-00018</t>
  </si>
  <si>
    <t>Cabin Air Filter</t>
  </si>
  <si>
    <t>MAT-00019</t>
  </si>
  <si>
    <t>Bearing 6205-2RS</t>
  </si>
  <si>
    <t>MAT-00020</t>
  </si>
  <si>
    <t>Undercarriage Chain Link Assembly</t>
  </si>
  <si>
    <t>Inactive</t>
  </si>
  <si>
    <t>Notes / Data Dictionary</t>
  </si>
  <si>
    <t>- Material Code: Primary key. Format MAT-##### used consistently across all worksheets.</t>
  </si>
  <si>
    <t>- ABC Classification: A = high value/usage, B = moderate, C = low value/high volume.</t>
  </si>
  <si>
    <t>- Criticality Flag: 'Critical Spare' = stockout risk causes production/machine downtime.</t>
  </si>
  <si>
    <t>- Conversion Factor: Multiply Purchase UoM quantity by this factor to obtain Base UoM quantity (used in PO/GR reconciliation).</t>
  </si>
  <si>
    <t>- Status: Only 'Active' materials should be used in new transactions.</t>
  </si>
  <si>
    <t>02_MASTER_SUPPLIER  |  Warehouse Operations in a Heavy Equipment Manufacturing Environment</t>
  </si>
  <si>
    <t>Supplier Code</t>
  </si>
  <si>
    <t>Supplier Name</t>
  </si>
  <si>
    <t>Supplier Type</t>
  </si>
  <si>
    <t>Supplier Category</t>
  </si>
  <si>
    <t>Country</t>
  </si>
  <si>
    <t>Contact Person</t>
  </si>
  <si>
    <t>Contact Email</t>
  </si>
  <si>
    <t>Contact Phone</t>
  </si>
  <si>
    <t>Supplier Rating</t>
  </si>
  <si>
    <t>PT Krakatau Steel Distribusi</t>
  </si>
  <si>
    <t>Authorized Distributor</t>
  </si>
  <si>
    <t>Local</t>
  </si>
  <si>
    <t>Indonesia</t>
  </si>
  <si>
    <t>Budi Santoso</t>
  </si>
  <si>
    <t>budi.santoso@krakatau-dist.co.id</t>
  </si>
  <si>
    <t>021-5501234</t>
  </si>
  <si>
    <t>Preferred</t>
  </si>
  <si>
    <t>PT Fastener Nusantara</t>
  </si>
  <si>
    <t>Local Trader</t>
  </si>
  <si>
    <t>Rina Wulandari</t>
  </si>
  <si>
    <t>rina@fastenernusantara.co.id</t>
  </si>
  <si>
    <t>021-5502345</t>
  </si>
  <si>
    <t>Approved</t>
  </si>
  <si>
    <t>Komatsu Parts Indonesia</t>
  </si>
  <si>
    <t>Agus Prasetyo</t>
  </si>
  <si>
    <t>agus.p@komatsuparts.co.id</t>
  </si>
  <si>
    <t>021-5503456</t>
  </si>
  <si>
    <t>PT Kimia Pelumas Industri</t>
  </si>
  <si>
    <t>Siti Rahayu</t>
  </si>
  <si>
    <t>siti.rahayu@kpi-lube.co.id</t>
  </si>
  <si>
    <t>021-5504567</t>
  </si>
  <si>
    <t>Caterpillar Engine Parts Distributor</t>
  </si>
  <si>
    <t>Import</t>
  </si>
  <si>
    <t>Singapore</t>
  </si>
  <si>
    <t>Michael Tan</t>
  </si>
  <si>
    <t>michael.tan@catengine-sg.com</t>
  </si>
  <si>
    <t>+65-6511-2233</t>
  </si>
  <si>
    <t>Original Equipment Spares Corp</t>
  </si>
  <si>
    <t>Manufacturer</t>
  </si>
  <si>
    <t>Japan</t>
  </si>
  <si>
    <t>Kenji Watanabe</t>
  </si>
  <si>
    <t>k.watanabe@oescorp.jp</t>
  </si>
  <si>
    <t>+81-3-4455-6677</t>
  </si>
  <si>
    <t>SUP-0002</t>
  </si>
  <si>
    <t>PT Sumber Baja Perkasa</t>
  </si>
  <si>
    <t>Dedi Kurniawan</t>
  </si>
  <si>
    <t>dedi@sumberbaja.co.id</t>
  </si>
  <si>
    <t>022-6601122</t>
  </si>
  <si>
    <t>Under Review</t>
  </si>
  <si>
    <t>SUP-0018</t>
  </si>
  <si>
    <t>Global Hydraulic Supply Pte Ltd</t>
  </si>
  <si>
    <t>Lisa Ong</t>
  </si>
  <si>
    <t>lisa.ong@ghsupply.sg</t>
  </si>
  <si>
    <t>+65-6522-3344</t>
  </si>
  <si>
    <t>SUP-0025</t>
  </si>
  <si>
    <t>PT Mitra Konsumabel Industri</t>
  </si>
  <si>
    <t>Andi Firmansyah</t>
  </si>
  <si>
    <t>andi@mitrakonsumabel.co.id</t>
  </si>
  <si>
    <t>021-5507890</t>
  </si>
  <si>
    <t>SUP-0040</t>
  </si>
  <si>
    <t>Heavy Equipment Parts Trading Co.</t>
  </si>
  <si>
    <t>Yusuf Hidayat</t>
  </si>
  <si>
    <t>yusuf@heptrading.co.id</t>
  </si>
  <si>
    <t>021-5508901</t>
  </si>
  <si>
    <t>- Supplier Code: Primary key. Must match Primary Supplier Code values used in 01_Master_Material.</t>
  </si>
  <si>
    <t>- Supplier Type: Manufacturer = direct OEM source; Authorized Distributor = official regional channel; Local Trader = non-exclusive reseller.</t>
  </si>
  <si>
    <t>- Supplier Rating: Purchasing-assigned reliability tier. 'Under Review' should not be used for new Critical Spare orders.</t>
  </si>
  <si>
    <t>- Assumption: Payment Terms, Tax ID, and Currency are out of scope (no Finance/AP worksheet exists).</t>
  </si>
  <si>
    <t>- Status: Only 'Active' suppliers should be selectable when creating a new Purchase Order.</t>
  </si>
  <si>
    <t>03_MASTER_LOCATION  |  Warehouse Operations in a Heavy Equipment Manufacturing Environment</t>
  </si>
  <si>
    <t>Location Code</t>
  </si>
  <si>
    <t>Location Description</t>
  </si>
  <si>
    <t>Zone</t>
  </si>
  <si>
    <t>Storage/Handling Requirement</t>
  </si>
  <si>
    <t>Pickable Flag</t>
  </si>
  <si>
    <t>Capacity (Max Qty)</t>
  </si>
  <si>
    <t>RCV-DOCK-01</t>
  </si>
  <si>
    <t>Receiving Dock 1</t>
  </si>
  <si>
    <t>Receiving</t>
  </si>
  <si>
    <t>No</t>
  </si>
  <si>
    <t>RCV-DOCK-02</t>
  </si>
  <si>
    <t>Receiving Dock 2 (Heavy Cargo)</t>
  </si>
  <si>
    <t>BLK-A-01</t>
  </si>
  <si>
    <t>Bulk Storage Rack A-01 (Steel Plates)</t>
  </si>
  <si>
    <t>Storage</t>
  </si>
  <si>
    <t>Yes</t>
  </si>
  <si>
    <t>BLK-A-02</t>
  </si>
  <si>
    <t>Bulk Storage Rack A-02</t>
  </si>
  <si>
    <t>RCK-B-01-01</t>
  </si>
  <si>
    <t>Standard Racking B-01 Level 1</t>
  </si>
  <si>
    <t>RCK-B-01-02</t>
  </si>
  <si>
    <t>Standard Racking B-01 Level 2</t>
  </si>
  <si>
    <t>RCK-B-02-01</t>
  </si>
  <si>
    <t>Standard Racking B-02 Level 1</t>
  </si>
  <si>
    <t>HAZ-C-01</t>
  </si>
  <si>
    <t>Hazardous Storage Cabinet C-01</t>
  </si>
  <si>
    <t>QC-HOLD-01</t>
  </si>
  <si>
    <t>Quarantine / QC Hold Area 1</t>
  </si>
  <si>
    <t>Quarantine/QC Hold</t>
  </si>
  <si>
    <t>SHP-STG-01</t>
  </si>
  <si>
    <t>Shipping Staging Area 1</t>
  </si>
  <si>
    <t>Shipping/Staging</t>
  </si>
  <si>
    <t>RCK-B-03-01</t>
  </si>
  <si>
    <t>Standard Racking B-03 Level 1 (Under Maintenance)</t>
  </si>
  <si>
    <t>- Location Code: Primary key, format ZONE-RACK-LEVEL. Foreign key used in Put-Away, Stock Card, and Cycle Count.</t>
  </si>
  <si>
    <t>- Zone: Functional workflow stage. Only 'Storage' zone locations are expected to be Pickable = Yes.</t>
  </si>
  <si>
    <t>- Storage/Handling Requirement: Uses the same value list as Storage/Handling Class in 01_Master_Material.</t>
  </si>
  <si>
    <t>- Pickable Flag: Business rule enforced in 08_Picking_List.</t>
  </si>
  <si>
    <t>- Capacity (Max Qty): Denominator for the Dashboard's warehouse utilization KPI.</t>
  </si>
  <si>
    <t>- Design note: Current Utilization (%) is intentionally NOT stored here; it is calculated in 12_Dashboard from Stock Card data.</t>
  </si>
  <si>
    <t>04_PURCHASE_ORDER  |  Warehouse Operations in a Heavy Equipment Manufacturing Environment</t>
  </si>
  <si>
    <t>PO Number</t>
  </si>
  <si>
    <t>PO Line</t>
  </si>
  <si>
    <t>PO Date</t>
  </si>
  <si>
    <t>Order Quantity</t>
  </si>
  <si>
    <t>Unit Price</t>
  </si>
  <si>
    <t>Line Total</t>
  </si>
  <si>
    <t>Conversion Factor (Ref)</t>
  </si>
  <si>
    <t>Standard Cost Equivalent</t>
  </si>
  <si>
    <t>Price Variance</t>
  </si>
  <si>
    <t>Price Variance %</t>
  </si>
  <si>
    <t>Order Priority</t>
  </si>
  <si>
    <t>Lead Time (Days) Ref</t>
  </si>
  <si>
    <t>Expected Delivery Date</t>
  </si>
  <si>
    <t>Cancelled Flag</t>
  </si>
  <si>
    <t>PO Status</t>
  </si>
  <si>
    <t>Remarks</t>
  </si>
  <si>
    <t>PO Line Key (Helper)</t>
  </si>
  <si>
    <t>PO-2026-0001</t>
  </si>
  <si>
    <t>PO-2026-0002</t>
  </si>
  <si>
    <t>Urgent</t>
  </si>
  <si>
    <t>Emergency replacement - unit down</t>
  </si>
  <si>
    <t>PO-2026-0003</t>
  </si>
  <si>
    <t>Project scope changed</t>
  </si>
  <si>
    <t>PO-2026-0004</t>
  </si>
  <si>
    <t>Critical spare - low stock</t>
  </si>
  <si>
    <t>PO-2026-0005</t>
  </si>
  <si>
    <t>- PO Number + PO Line: Composite key, combined into 'PO Line Key' (column V) for simple single-column lookups from 05_Goods_Receipt.</t>
  </si>
  <si>
    <t>- Supplier Name, Material Description, Purchase UoM, Conversion Factor, Lead Time: pulled live via INDEX/MATCH from the master sheets (green font = cross-sheet link).</t>
  </si>
  <si>
    <t>- Standard Cost Equivalent = Material Standard Cost x Conversion Factor, converted into Purchase UoM terms to compare directly against the negotiated Unit Price.</t>
  </si>
  <si>
    <t>- Price Variance = Unit Price - Standard Cost Equivalent. Positive = paid above standard cost; Negative = paid below standard cost.</t>
  </si>
  <si>
    <t>- Expected Delivery Date = PO Date + Lead Time (Days) from Material Master.</t>
  </si>
  <si>
    <t>- Cancelled Flag: Manual override. PO cancellation is a business decision that cannot be inferred from receiving data, so it is kept as an explicit input.</t>
  </si>
  <si>
    <t>- PO Status: NOW FORMULA-DRIVEN (updated from Sheet 04 v1). Checks Cancelled Flag first; otherwise compares SUMIFS of Quantity Accepted in 05_Goods_Receipt against Order Quantity to derive Open / Partially Received / Closed.</t>
  </si>
  <si>
    <t>- Font color convention: blue = manual input, green = cross-sheet lookup formula, black = same-row calculated formula, grey italic = helper/technical column.</t>
  </si>
  <si>
    <t>05_GOODS_RECEIPT  |  Warehouse Operations in a Heavy Equipment Manufacturing Environment</t>
  </si>
  <si>
    <t>GR Number</t>
  </si>
  <si>
    <t>GR Line</t>
  </si>
  <si>
    <t>GR Date</t>
  </si>
  <si>
    <t>Order Quantity (Ref)</t>
  </si>
  <si>
    <t>Unit Price (Ref)</t>
  </si>
  <si>
    <t>UoM (Ref)</t>
  </si>
  <si>
    <t>Quantity Received</t>
  </si>
  <si>
    <t>Quantity Accepted</t>
  </si>
  <si>
    <t>Quantity Rejected</t>
  </si>
  <si>
    <t>Inspection Result</t>
  </si>
  <si>
    <t>Rejection Reason</t>
  </si>
  <si>
    <t>Batch/Lot Number</t>
  </si>
  <si>
    <t>Receiving Location (Dock)</t>
  </si>
  <si>
    <t>Expected Delivery Date (Ref)</t>
  </si>
  <si>
    <t>Delivery Status</t>
  </si>
  <si>
    <t>Quantity Variance</t>
  </si>
  <si>
    <t>Quantity Variance %</t>
  </si>
  <si>
    <t>Put-Away Status</t>
  </si>
  <si>
    <t>GR Line Key (Helper)</t>
  </si>
  <si>
    <t>GR-2026-0001</t>
  </si>
  <si>
    <t>N/A</t>
  </si>
  <si>
    <t>HYD-SEAL-2606A</t>
  </si>
  <si>
    <t>Damaged in Transit</t>
  </si>
  <si>
    <t>HYD-HOSE-2606B</t>
  </si>
  <si>
    <t>2 units damaged, requested replacement</t>
  </si>
  <si>
    <t>GR-2026-0002</t>
  </si>
  <si>
    <t>OILFLT-2606C</t>
  </si>
  <si>
    <t>Partial shipment, remainder still pending from supplier</t>
  </si>
  <si>
    <t>GR-2026-0003</t>
  </si>
  <si>
    <t>GR-2026-0004</t>
  </si>
  <si>
    <t>Slight delay from supplier</t>
  </si>
  <si>
    <t>- GR Number + GR Line: Composite key. One GR Number can cover multiple lines received in the same physical delivery.</t>
  </si>
  <si>
    <t>- PO Line Key (Helper) = PO Number &amp; PO Line, used for single-column INDEX/MATCH lookups back to 04_Purchase_Order (avoids fragile two-criteria array formulas).</t>
  </si>
  <si>
    <t>- Quantity Accepted vs Quantity Received: deliberately separate. A shipment can arrive complete (Received) but partially fail QC (Accepted &lt; Received), which correctly keeps the related PO 'Partially Received' rather than falsely 'Closed'.</t>
  </si>
  <si>
    <t>- Delivery Status = On-Time if GR Date &lt;= Expected Delivery Date (from PO), else Late. Feeds the Dashboard's supplier on-time delivery KPI.</t>
  </si>
  <si>
    <t>- Quantity Variance = Quantity Received - Order Quantity (Ref). Negative = under-shipment; positive = over-shipment.</t>
  </si>
  <si>
    <t>- Batch/Lot Number: Optional. Recommended for Critical Spare and hydraulic/engine components to support warranty/defect traceability.</t>
  </si>
  <si>
    <t>- Put-Away Status: FORMULA-DRIVEN (updated from Sheet 05 v1). Uses COUNTIF against 06_Put_Away's GR Line Key column to detect whether this receipt has already been shelved.</t>
  </si>
  <si>
    <t>06_PUT_AWAY  |  Warehouse Operations in a Heavy Equipment Manufacturing Environment</t>
  </si>
  <si>
    <t>Put-Away Number</t>
  </si>
  <si>
    <t>Put-Away Line</t>
  </si>
  <si>
    <t>Put-Away Date</t>
  </si>
  <si>
    <t>Quantity Accepted (Ref, Purchase UoM)</t>
  </si>
  <si>
    <t>Purchase UoM (Ref)</t>
  </si>
  <si>
    <t>Quantity Put-Away (Base UoM)</t>
  </si>
  <si>
    <t>Base UoM (Ref)</t>
  </si>
  <si>
    <t>Storage/Handling Class (Ref)</t>
  </si>
  <si>
    <t>Putaway Location</t>
  </si>
  <si>
    <t>Location Storage/Handling Requirement (Ref)</t>
  </si>
  <si>
    <t>Location Match Check</t>
  </si>
  <si>
    <t>Putaway Status</t>
  </si>
  <si>
    <t>GR Date (Ref)</t>
  </si>
  <si>
    <t>Putaway Lead Time (Days)</t>
  </si>
  <si>
    <t>Put-Away Line Key (Helper)</t>
  </si>
  <si>
    <t>PA-2026-0001</t>
  </si>
  <si>
    <t>PA-2026-0002</t>
  </si>
  <si>
    <t>PA-2026-0003</t>
  </si>
  <si>
    <t>Placed in wrong location by mistake - flagged for correction</t>
  </si>
  <si>
    <t>PA-2026-0004</t>
  </si>
  <si>
    <t>- GR Line Key (Helper) = GR Number &amp; GR Line, used for single-column INDEX/MATCH lookups back to 05_Goods_Receipt.</t>
  </si>
  <si>
    <t>- Quantity Put-Away (Base UoM) = Quantity Accepted (Purchase UoM) x Conversion Factor. This is the actual stock quantity that will feed 10_Stock_Card.</t>
  </si>
  <si>
    <t>- Architecture decision: Stock Card draws its 'stock in' transaction from Put-Away, not directly from Goods Receipt, because Stock Card requires a Location dimension that only exists after this step.</t>
  </si>
  <si>
    <t>- Location Match Check compares the material's required Storage/Handling Class against the chosen location's actual requirement, flagging any mismatch for review - this simulates a real putaway-verification control.</t>
  </si>
  <si>
    <t>- Putaway Lead Time (Days) = Put-Away Date - GR Date (Ref). Feeds a Dashboard KPI on receiving-to-shelf efficiency.</t>
  </si>
  <si>
    <t>- Sample data intentionally includes one mismatch (PA-2026-0003) to demonstrate the validation catching a real placement error.</t>
  </si>
  <si>
    <t>07_MATERIAL_REQUEST  |  Warehouse Operations in a Heavy Equipment Manufacturing Environment</t>
  </si>
  <si>
    <t>Request Number</t>
  </si>
  <si>
    <t>Request Line</t>
  </si>
  <si>
    <t>Request Date</t>
  </si>
  <si>
    <t>Requesting Department</t>
  </si>
  <si>
    <t>Quantity Requested</t>
  </si>
  <si>
    <t>Request Priority</t>
  </si>
  <si>
    <t>Required Date</t>
  </si>
  <si>
    <t>Total Put-Away (Ref)</t>
  </si>
  <si>
    <t>Total Issued (Ref)</t>
  </si>
  <si>
    <t>Available Stock (Calculated)</t>
  </si>
  <si>
    <t>Stock Sufficiency Check</t>
  </si>
  <si>
    <t>Request Status</t>
  </si>
  <si>
    <t>Request Line Key (Helper)</t>
  </si>
  <si>
    <t>MR-2026-0001</t>
  </si>
  <si>
    <t>Production</t>
  </si>
  <si>
    <t>Routine</t>
  </si>
  <si>
    <t>Open</t>
  </si>
  <si>
    <t>MR-2026-0002</t>
  </si>
  <si>
    <t>Maintenance</t>
  </si>
  <si>
    <t>Machine down - urgent filter replacement</t>
  </si>
  <si>
    <t>MR-2026-0003</t>
  </si>
  <si>
    <t>MR-2026-0004</t>
  </si>
  <si>
    <t>Quantity exceeds available stock - to review</t>
  </si>
  <si>
    <t>- Requesting Department: kept as a simple category (Production/Maintenance/QC), not a full cost-center code - no Finance/AP worksheet exists in this project to consume that level of detail.</t>
  </si>
  <si>
    <t>- Total Put-Away (Ref) = SUMIF of Quantity Put-Away (Base UoM) in 06_Put_Away for this material - i.e. everything ever shelved.</t>
  </si>
  <si>
    <t>- Total Issued (Ref) = SUMIF of Quantity Issued in 09_Goods_Issue for this material. Updated automatically as new issues are recorded.</t>
  </si>
  <si>
    <t>- Available Stock (Calculated) = Total Put-Away - Total Issued. This is designed to automatically become accurate once Goods Issue exists, without needing to redesign this sheet.</t>
  </si>
  <si>
    <t>- Stock Sufficiency Check flags whether available stock can cover this request - feeds 08_Picking_List and a Dashboard 'unfulfillable request' KPI.</t>
  </si>
  <si>
    <t>- Request Priority: mirrors the Order Priority concept in 04_Purchase_Order, giving a consistent 'urgent vs routine' language across the whole workbook.</t>
  </si>
  <si>
    <t>- IMPORTANT DESIGN NOTE: Available Stock (Calculated) reflects CURRENT total stock (Put-Away minus Issued to date), not the stock balance at the moment this request was made. Once older requests have been fully issued, this column will correctly show low/zero remaining stock even though the request itself was fulfilled successfully at the time. This is a known limitation of a flat transactional sheet without a point-in-time ledger - which is exactly why 10_Stock_Card exists: it provides a running balance per date/transaction rather than a single current-total snapshot.</t>
  </si>
  <si>
    <t>08_PICKING_LIST  |  Warehouse Operations in a Heavy Equipment Manufacturing Environment</t>
  </si>
  <si>
    <t>Pick Number</t>
  </si>
  <si>
    <t>Pick Line</t>
  </si>
  <si>
    <t>Pick Date</t>
  </si>
  <si>
    <t>Requesting Department (Ref)</t>
  </si>
  <si>
    <t>Request Priority (Ref)</t>
  </si>
  <si>
    <t>Quantity Requested (Ref)</t>
  </si>
  <si>
    <t>Pick Location (Ref)</t>
  </si>
  <si>
    <t>Pick Location Pickable Check (Ref)</t>
  </si>
  <si>
    <t>Quantity Allocated (Calculated)</t>
  </si>
  <si>
    <t>Quantity Picked</t>
  </si>
  <si>
    <t>Pick Status</t>
  </si>
  <si>
    <t>Short-Pick Reason</t>
  </si>
  <si>
    <t>Pick Line Key (Helper)</t>
  </si>
  <si>
    <t>PL-2026-0001</t>
  </si>
  <si>
    <t>PL-2026-0002</t>
  </si>
  <si>
    <t>Urgent request - same-day pick</t>
  </si>
  <si>
    <t>PL-2026-0003</t>
  </si>
  <si>
    <t>Picked from HAZ-C-01 - flagged: verify this is the correct location for this material</t>
  </si>
  <si>
    <t>PL-2026-0004</t>
  </si>
  <si>
    <t>Stock Shortage</t>
  </si>
  <si>
    <t>Only 8,000 available against 9,000 requested; remainder pending replenishment</t>
  </si>
  <si>
    <t>- Request Line Key (Helper) = Request Number &amp; Request Line, mirroring the same helper-key pattern used in 04/05/06 to allow single-column INDEX/MATCH lookups.</t>
  </si>
  <si>
    <t>- Pick Location (Ref) is looked up automatically from 06_Put_Away by Material Code - it is NOT re-entered manually, so any placement error made during Put-Away flows through here automatically (see PL-2026-0003, which inherited the HAZ-C-01 mismatch from PA-2026-0003).</t>
  </si>
  <si>
    <t>- Pick Location Pickable Check (Ref) cross-checks the suggested location against 03_Master_Location's Pickable Flag, as a safety net in case a non-storage location is ever returned.</t>
  </si>
  <si>
    <t>- Available Stock (Calculated) = SUMIF of Quantity Put-Away for this material, minus SUMIF of Quantity Issued in 09_Goods_Issue. Fully live now that Goods Issue exists.</t>
  </si>
  <si>
    <t>- Quantity Allocated = MIN(Quantity Requested, Available Stock) - the system will never promise more than what is physically on the shelf.</t>
  </si>
  <si>
    <t>- Pick Status is derived automatically from Quantity Picked vs Quantity Requested, not manually set - this keeps the field trustworthy for the Dashboard's pick-fulfillment KPI.</t>
  </si>
  <si>
    <t>- IMPORTANT DESIGN NOTE: like 07_Material_Request, Available Stock (Calculated) here reflects the CURRENT running total, not the balance at the historical moment of this pick. Older picks may show low remaining stock now that their material has since been fully issued - this is expected, and is resolved properly in 10_Stock_Card's date-based running ledger.</t>
  </si>
  <si>
    <t>09_GOODS_ISSUE  |  Warehouse Operations in a Heavy Equipment Manufacturing Environment</t>
  </si>
  <si>
    <t>GI Number</t>
  </si>
  <si>
    <t>GI Line</t>
  </si>
  <si>
    <t>GI Date</t>
  </si>
  <si>
    <t>Issuing Location (Ref)</t>
  </si>
  <si>
    <t>Quantity Picked (Ref)</t>
  </si>
  <si>
    <t>Quantity Issued</t>
  </si>
  <si>
    <t>Issue Variance</t>
  </si>
  <si>
    <t>Issue Variance Reason</t>
  </si>
  <si>
    <t>GI Line Key (Helper)</t>
  </si>
  <si>
    <t>GI-2026-0001</t>
  </si>
  <si>
    <t>Damaged During Staging</t>
  </si>
  <si>
    <t>1 unit found damaged during final check before handoff</t>
  </si>
  <si>
    <t>GI-2026-0002</t>
  </si>
  <si>
    <t>Urgent request - same-day issue</t>
  </si>
  <si>
    <t>GI-2026-0003</t>
  </si>
  <si>
    <t>Issued from HAZ-C-01 - location discrepancy noted, recommend relocation at next cycle count</t>
  </si>
  <si>
    <t>GI-2026-0004</t>
  </si>
  <si>
    <t>Partial fulfillment - 1,000 units still pending against MR-2026-0004</t>
  </si>
  <si>
    <t>- Pick Line Key (Helper) = Pick Number &amp; Pick Line, mirroring the helper-key pattern used across 04-08 for single-column INDEX/MATCH lookups.</t>
  </si>
  <si>
    <t>- Quantity Picked (Ref) vs Quantity Issued: deliberately kept separate. Quantity Picked reflects what warehouse staff physically gathered; Quantity Issued reflects what was formally confirmed and handed over - these can differ if a final check before handoff finds a problem (see GI-2026-0001 line 20).</t>
  </si>
  <si>
    <t>- Issue Variance = Quantity Picked (Ref) - Quantity Issued. Positive means less was formally issued than was picked.</t>
  </si>
  <si>
    <t>- This sheet is the authoritative stock-out transaction: 10_Stock_Card will draw its 'stock out' side from here, and 07_Material_Request / 08_Picking_List's Available Stock calculations now subtract SUMIF totals from this sheet - both loops are now fully live, not placeholders.</t>
  </si>
  <si>
    <t>- Base UoM (Ref): Quantities here are in Base UoM, consistent with Put-Away, since conversion from Purchase UoM already happened upstream.</t>
  </si>
  <si>
    <t>10_STOCK_CARD  |  Warehouse Operations in a Heavy Equipment Manufacturing Environment</t>
  </si>
  <si>
    <t>Stock Card Line</t>
  </si>
  <si>
    <t>Transaction Date</t>
  </si>
  <si>
    <t>Transaction Type</t>
  </si>
  <si>
    <t>Reference Number</t>
  </si>
  <si>
    <t>Reference Line</t>
  </si>
  <si>
    <t>Reference Key (Helper)</t>
  </si>
  <si>
    <t>Location (Ref)</t>
  </si>
  <si>
    <t>Quantity In</t>
  </si>
  <si>
    <t>Quantity Out</t>
  </si>
  <si>
    <t>Net Movement</t>
  </si>
  <si>
    <t>Running Balance (Qty)</t>
  </si>
  <si>
    <t>Unit Cost (Ref)</t>
  </si>
  <si>
    <t>Running Balance Value</t>
  </si>
  <si>
    <t>Receipt</t>
  </si>
  <si>
    <t>Issue</t>
  </si>
  <si>
    <t>Location inherited from Put-Away mismatch (HAZ-C-01) - see 06_Put_Away notes</t>
  </si>
  <si>
    <t>- This is a COMBINED chronological ledger across all materials, not one tab per material - rows should be entered in date order for the running balance logic to read naturally (though the SUMIFS formula itself is robust to ordering since it filters by Material Code).</t>
  </si>
  <si>
    <t>- Running Balance (Qty) = SUMIFS of Net Movement from the first data row through the current row, filtered to the same Material Code - an expanding-range technique that isolates each material's own running total within one shared table.</t>
  </si>
  <si>
    <t>- Material Code, Location, Quantity In/Out are all pulled via a single formula that branches on Transaction Type (Receipt -&gt; 06_Put_Away, Issue -&gt; 09_Goods_Issue) using each source's own Line Key helper column.</t>
  </si>
  <si>
    <t>- Scope decision: balance is tracked per Material Code only, not per Material + Location (bin-level). A true bin-level stock card is a valid real-world enhancement but is out of scope here, since our sample data currently has one primary location per material.</t>
  </si>
  <si>
    <t>- Running Balance Value = Running Balance (Qty) x Standard Cost (Ref). This is the 4th worksheet in this workbook to use the Material Master's Standard Cost / Conversion Factor fields, reinforcing that these fields were designed with real purpose.</t>
  </si>
  <si>
    <t>- Validation note: running balances calculated here (e.g. MAT-00003 = 44, MAT-00001 = 46, MAT-00004 = 2,000) match exactly the Available Stock figures independently calculated in 07_Material_Request and 08_Picking_List, confirming the whole workbook is internally consistent.</t>
  </si>
  <si>
    <t>11_CYCLE_COUNT  |  Warehouse Operations in a Heavy Equipment Manufacturing Environment</t>
  </si>
  <si>
    <t>Count Number</t>
  </si>
  <si>
    <t>Count Line</t>
  </si>
  <si>
    <t>Count Date</t>
  </si>
  <si>
    <t>ABC Classification (Ref)</t>
  </si>
  <si>
    <t>Last Stock Card Row (Helper)</t>
  </si>
  <si>
    <t>System Quantity (Ref)</t>
  </si>
  <si>
    <t>Physical Count</t>
  </si>
  <si>
    <t>Variance (Qty)</t>
  </si>
  <si>
    <t>Variance %</t>
  </si>
  <si>
    <t>Variance Value</t>
  </si>
  <si>
    <t>Count Result</t>
  </si>
  <si>
    <t>Root Cause</t>
  </si>
  <si>
    <t>Adjustment Status</t>
  </si>
  <si>
    <t>CC-2026-0001</t>
  </si>
  <si>
    <t>No Adjustment Needed</t>
  </si>
  <si>
    <t>CC-2026-0002</t>
  </si>
  <si>
    <t>Miscount</t>
  </si>
  <si>
    <t>Adjusted</t>
  </si>
  <si>
    <t>1 extra unit found - likely a prior receiving miscount, corrected</t>
  </si>
  <si>
    <t>Location Mismatch</t>
  </si>
  <si>
    <t>Under Investigation</t>
  </si>
  <si>
    <t>Shortage found in HAZ-C-01 - suspected related to the earlier put-away placement error</t>
  </si>
  <si>
    <t>CC-2026-0003</t>
  </si>
  <si>
    <t>Zero balance confirmed - fully issued, no physical stock remains</t>
  </si>
  <si>
    <t>- Scope decision: counting is done per Material Code, matching the per-material granularity of 10_Stock_Card. A true bin-level cycle count is a valid real-world enhancement but is out of scope here.</t>
  </si>
  <si>
    <t>- Last Stock Card Row (Helper) uses SUMPRODUCT(MAX(...)) to find the row number of the MOST RECENT Stock Card entry for this material - necessary because Stock Card is a chronological ledger, not a per-material table. Kept as its own column (rather than nested inside System Quantity) for auditability.</t>
  </si>
  <si>
    <t>- System Quantity (Ref) and Location (Ref) both use INDEX() against that row number, pulling the latest running balance and last known location.</t>
  </si>
  <si>
    <t>- Sample selection deliberately favors Class A materials (counted more often in real practice) and includes one deliberate shortage tied to the known HAZ-C-01 put-away mismatch (MAT-00004), showing how a placement error can surface downstream as an unexplained variance during counting.</t>
  </si>
  <si>
    <t>- Variance Value = Variance (Qty) x Standard Cost (Ref) - gives a monetary read on count discrepancies, feeding a Dashboard KPI on inventory accuracy in Rupiah terms, not just quantity terms.</t>
  </si>
  <si>
    <t>- Adjustment Status tracks whether Stock Card has actually been corrected yet - 'Under Investigation' rows should NOT be treated as resolved in the Dashboard.</t>
  </si>
  <si>
    <t>12_DASHBOARD  |  Warehouse Operations in a Heavy Equipment Manufacturing Environment</t>
  </si>
  <si>
    <t>HEADLINE KPIs (Live, pulled from all 11 worksheets)</t>
  </si>
  <si>
    <t>Total Purchase Order Value (Rp)</t>
  </si>
  <si>
    <t>On-Time Delivery Rate (Goods Receipt)</t>
  </si>
  <si>
    <t>Receiving Rejection Rate</t>
  </si>
  <si>
    <t>Average Purchase Price Variance %</t>
  </si>
  <si>
    <t>Average Putaway Lead Time (Days)</t>
  </si>
  <si>
    <t>Pick Fulfillment Rate (Fully Picked)</t>
  </si>
  <si>
    <t>Inventory Accuracy Rate (Cycle Count)</t>
  </si>
  <si>
    <t>Total Current Inventory Value (Rp)</t>
  </si>
  <si>
    <t>A. PURCHASE ORDER STATUS BREAKDOWN</t>
  </si>
  <si>
    <t>Count</t>
  </si>
  <si>
    <t>Partially Received</t>
  </si>
  <si>
    <t>Closed</t>
  </si>
  <si>
    <t>Cancelled</t>
  </si>
  <si>
    <t>B. SUPPLIER SPEND SUMMARY</t>
  </si>
  <si>
    <t>Category</t>
  </si>
  <si>
    <t>Total Spend (Rp)</t>
  </si>
  <si>
    <t>Local Spend Total (Rp)</t>
  </si>
  <si>
    <t>Import Spend Total (Rp)</t>
  </si>
  <si>
    <t>C. INVENTORY VALUATION SUMMARY (materials with recorded movement)</t>
  </si>
  <si>
    <t>Description</t>
  </si>
  <si>
    <t>Last SC Row (Helper)</t>
  </si>
  <si>
    <t>Current Qty</t>
  </si>
  <si>
    <t>Current Location</t>
  </si>
  <si>
    <t>Unit Cost (Rp)</t>
  </si>
  <si>
    <t>Inventory Value (Rp)</t>
  </si>
  <si>
    <t>TOTAL</t>
  </si>
  <si>
    <t>D. LOCATION UTILIZATION SUMMARY</t>
  </si>
  <si>
    <t>Capacity</t>
  </si>
  <si>
    <t>Current Qty Held</t>
  </si>
  <si>
    <t>Utilization %</t>
  </si>
  <si>
    <t>E. OTHER OPERATIONAL METRICS</t>
  </si>
  <si>
    <t>Urgent Purchase Order Count</t>
  </si>
  <si>
    <t>Urgent Material Request Count</t>
  </si>
  <si>
    <t>Material Requests Currently Sufficient (Ref)</t>
  </si>
  <si>
    <t>Goods Issue Variance Incidence Rate</t>
  </si>
  <si>
    <t>Put-Away Location Match Rate</t>
  </si>
  <si>
    <t>Net Cycle Count Variance Value (Rp)</t>
  </si>
  <si>
    <t>- Every figure on this dashboard is a live formula referencing the 11 upstream worksheets - nothing here is manually typed or hardcoded.</t>
  </si>
  <si>
    <t>- Section C (Inventory Valuation) and Section D (Location Utilization) list only materials/locations with recorded transaction history in this sample dataset. Adding new transacting materials in the future requires adding a row here - a deliberate trade-off to keep formulas simple and auditable rather than relying on fragile whole-column array formulas.</t>
  </si>
  <si>
    <t>- 'Material Requests Currently Sufficient (Ref)' reflects CURRENT stock levels, not the stock level at the time each historical request was made - see the design notes in 07_Material_Request and 08_Picking_List for why this is expected, not an error.</t>
  </si>
  <si>
    <t>- Total Current Inventory Value links directly to Section C's total, so both numbers will always agree.</t>
  </si>
  <si>
    <t>- Charts are native Excel bar charts built from the adjacent summary tables, so they update automatically if the underlying transaction data changes.</t>
  </si>
  <si>
    <t>- NOTABLE FINDING: HAZ-C-01 shows utilization well over 100% - this is the same location where MAT-00004 (Hex Bolt) was mistakenly put away back in 06_Put_Away. A 60-capacity hazardous cabinet is holding 2,000 units of ordinary fasteners, both the wrong handling class AND grossly over capacity. This is exactly the kind of anomaly a real dashboard should surface prominently for a manager to act on - it is intentionally left visible rather than 'cleaned up', to demonstrate that the workbook's validations (Location Match Check, Cycle Count root cause) and this Dashboard are telling a consistent, traceable story end to end.</t>
  </si>
  <si>
    <t>Column</t>
  </si>
  <si>
    <t>Mengapa ada?</t>
  </si>
  <si>
    <t>Primary key seluruh workbook</t>
  </si>
  <si>
    <t>Nama material</t>
  </si>
  <si>
    <t>Kategori dashboard</t>
  </si>
  <si>
    <t>Satuan stok</t>
  </si>
  <si>
    <t>Default supplier untuk PO</t>
  </si>
  <si>
    <t>Default Storage Location</t>
  </si>
  <si>
    <t>Referensi Put Away</t>
  </si>
  <si>
    <t>Standard Cost</t>
  </si>
  <si>
    <t>Inventory valuation</t>
  </si>
  <si>
    <t>Prioritas spare part</t>
  </si>
  <si>
    <t>Aturan penyimpanan</t>
  </si>
  <si>
    <t>Low stock alert</t>
  </si>
  <si>
    <t>Maximum inventory</t>
  </si>
  <si>
    <t>Planning pembelian</t>
  </si>
  <si>
    <t>Active/Inactive</t>
  </si>
  <si>
    <t>Catatan</t>
  </si>
  <si>
    <t>Track Roller Assembly</t>
  </si>
  <si>
    <t>Raw Materials</t>
  </si>
  <si>
    <t>Filters</t>
  </si>
  <si>
    <t>Undercarriage Components</t>
  </si>
  <si>
    <t>Lubricants &amp; Fluids</t>
  </si>
  <si>
    <t>Engine Components</t>
  </si>
  <si>
    <t>MAT-0001</t>
  </si>
  <si>
    <t>A-01-01-01</t>
  </si>
  <si>
    <t>MAT-0002</t>
  </si>
  <si>
    <t>C-01-01-01</t>
  </si>
  <si>
    <t>MAT-0003</t>
  </si>
  <si>
    <t>Engine Oil Filter</t>
  </si>
  <si>
    <t>A-02-01-01</t>
  </si>
  <si>
    <t>MAT-0004</t>
  </si>
  <si>
    <t>D-01-01-01</t>
  </si>
  <si>
    <t>MAT-0005</t>
  </si>
  <si>
    <t>D-02-01-01</t>
  </si>
  <si>
    <t>MAT-0006</t>
  </si>
  <si>
    <t>B-01-01-01</t>
  </si>
  <si>
    <t>MAT-0007</t>
  </si>
  <si>
    <t>A-02-01-02</t>
  </si>
  <si>
    <t>MAT-0008</t>
  </si>
  <si>
    <t>A-01-02-01</t>
  </si>
  <si>
    <t>MAT-0009</t>
  </si>
  <si>
    <t>D-02-02-01</t>
  </si>
  <si>
    <t>MAT-0010</t>
  </si>
  <si>
    <t>D-02-01-02</t>
  </si>
  <si>
    <t>MAT-0011</t>
  </si>
  <si>
    <t>Final Drive Motor</t>
  </si>
  <si>
    <t>B-01-02-01</t>
  </si>
  <si>
    <t>MAT-0012</t>
  </si>
  <si>
    <t>Bucket Tooth</t>
  </si>
  <si>
    <t>B-02-01-01</t>
  </si>
  <si>
    <t>MAT-0013</t>
  </si>
  <si>
    <t>D-02-02-02</t>
  </si>
  <si>
    <t>MAT-0014</t>
  </si>
  <si>
    <t>D-01-01-02</t>
  </si>
  <si>
    <t>MAT-0015</t>
  </si>
  <si>
    <t>Turbocharger Assembly</t>
  </si>
  <si>
    <t>A-01-03-01</t>
  </si>
  <si>
    <t>MAT-0016</t>
  </si>
  <si>
    <t>A-01-03-02</t>
  </si>
  <si>
    <t>MAT-0017</t>
  </si>
  <si>
    <t>Steel Beam 6m Length</t>
  </si>
  <si>
    <t>C-01-01-02</t>
  </si>
  <si>
    <t>MAT-0018</t>
  </si>
  <si>
    <t>A-02-01-03</t>
  </si>
  <si>
    <t>MAT-0019</t>
  </si>
  <si>
    <t>A-01-02-02</t>
  </si>
  <si>
    <t>MAT-0020</t>
  </si>
  <si>
    <t>B-02-02-01</t>
  </si>
  <si>
    <t>Standard Cost (IDR per Base UoM)</t>
  </si>
  <si>
    <t>PAIL</t>
  </si>
  <si>
    <t>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</si>
</sst>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0;\(#,##0.00\)"/>
    <numFmt numFmtId="166" formatCode="0.0%;\(0.0%\)"/>
    <numFmt numFmtId="167" formatCode="#,##0;\(#,##0\)"/>
    <numFmt numFmtId="168" formatCode="0.0%"/>
    <numFmt numFmtId="169" formatCode="0.0"/>
    <numFmt numFmtId="176" formatCode="_-[$Rp-421]* #,##0_-;\-[$Rp-421]* #,##0_-;_-[$Rp-421]* &quot;-&quot;??_-;_-@_-"/>
  </numFmts>
  <fonts count="15" x14ac:knownFonts="1">
    <font>
      <sz val="11"/>
      <color theme="1"/>
      <name val="Calibri"/>
      <family val="2"/>
      <charset val="1"/>
    </font>
    <font>
      <b/>
      <sz val="13"/>
      <color rgb="FFFFFFFF"/>
      <name val="Arial"/>
      <family val="2"/>
    </font>
    <font>
      <b/>
      <sz val="10"/>
      <color rgb="FFFFFFFF"/>
      <name val="Arial"/>
      <family val="2"/>
    </font>
    <font>
      <sz val="10"/>
      <name val="Arial"/>
      <family val="2"/>
    </font>
    <font>
      <b/>
      <sz val="11"/>
      <name val="Arial"/>
      <family val="2"/>
    </font>
    <font>
      <i/>
      <sz val="9"/>
      <color rgb="FF595959"/>
      <name val="Arial"/>
      <family val="2"/>
    </font>
    <font>
      <sz val="10"/>
      <color rgb="FF0000FF"/>
      <name val="Arial"/>
      <family val="2"/>
    </font>
    <font>
      <sz val="10"/>
      <color rgb="FF008000"/>
      <name val="Arial"/>
      <family val="2"/>
    </font>
    <font>
      <sz val="10"/>
      <color rgb="FF000000"/>
      <name val="Arial"/>
      <family val="2"/>
    </font>
    <font>
      <i/>
      <sz val="10"/>
      <color rgb="FF7F7F7F"/>
      <name val="Arial"/>
      <family val="2"/>
    </font>
    <font>
      <b/>
      <sz val="11"/>
      <color rgb="FFFFFFFF"/>
      <name val="Arial"/>
      <family val="2"/>
    </font>
    <font>
      <b/>
      <sz val="12"/>
      <color rgb="FF1F4E78"/>
      <name val="Arial"/>
      <family val="2"/>
    </font>
    <font>
      <b/>
      <sz val="9"/>
      <name val="Arial"/>
      <family val="2"/>
    </font>
    <font>
      <sz val="8"/>
      <name val="Calibri"/>
      <family val="2"/>
      <charset val="1"/>
    </font>
    <font>
      <b/>
      <sz val="11"/>
      <color theme="1"/>
      <name val="Calibri"/>
      <family val="2"/>
      <charset val="1"/>
    </font>
  </fonts>
  <fills count="6">
    <fill>
      <patternFill patternType="none"/>
    </fill>
    <fill>
      <patternFill patternType="gray125"/>
    </fill>
    <fill>
      <patternFill patternType="solid">
        <fgColor rgb="FF1F4E78"/>
        <bgColor rgb="FF003366"/>
      </patternFill>
    </fill>
    <fill>
      <patternFill patternType="solid">
        <fgColor rgb="FF2E75B6"/>
        <bgColor rgb="FF4472C4"/>
      </patternFill>
    </fill>
    <fill>
      <patternFill patternType="solid">
        <fgColor rgb="FF4472C4"/>
        <bgColor rgb="FF2E75B6"/>
      </patternFill>
    </fill>
    <fill>
      <patternFill patternType="solid">
        <fgColor rgb="FFD9E2F3"/>
        <bgColor rgb="FFDDEBF7"/>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horizontal="left"/>
    </xf>
    <xf numFmtId="3" fontId="3" fillId="0" borderId="1" xfId="0" applyNumberFormat="1" applyFont="1" applyBorder="1" applyAlignment="1">
      <alignment horizontal="right"/>
    </xf>
    <xf numFmtId="0" fontId="4" fillId="0" borderId="0" xfId="0" applyFont="1"/>
    <xf numFmtId="0" fontId="5" fillId="0" borderId="0" xfId="0" applyFont="1"/>
    <xf numFmtId="0" fontId="6" fillId="0" borderId="1" xfId="0" applyFont="1" applyBorder="1" applyAlignment="1">
      <alignment horizontal="left"/>
    </xf>
    <xf numFmtId="0" fontId="6" fillId="0" borderId="1" xfId="0" applyFont="1" applyBorder="1" applyAlignment="1">
      <alignment horizontal="right"/>
    </xf>
    <xf numFmtId="164" fontId="6" fillId="0" borderId="1" xfId="0" applyNumberFormat="1" applyFont="1" applyBorder="1" applyAlignment="1">
      <alignment horizontal="right"/>
    </xf>
    <xf numFmtId="0" fontId="7" fillId="0" borderId="1" xfId="0" applyFont="1" applyBorder="1" applyAlignment="1">
      <alignment horizontal="left"/>
    </xf>
    <xf numFmtId="0" fontId="7" fillId="0" borderId="1" xfId="0" applyFont="1" applyBorder="1" applyAlignment="1">
      <alignment horizontal="center"/>
    </xf>
    <xf numFmtId="3" fontId="6" fillId="0" borderId="1" xfId="0" applyNumberFormat="1" applyFont="1" applyBorder="1" applyAlignment="1">
      <alignment horizontal="right"/>
    </xf>
    <xf numFmtId="4" fontId="6" fillId="0" borderId="1" xfId="0" applyNumberFormat="1" applyFont="1" applyBorder="1" applyAlignment="1">
      <alignment horizontal="right"/>
    </xf>
    <xf numFmtId="4" fontId="8" fillId="0" borderId="1" xfId="0" applyNumberFormat="1" applyFont="1" applyBorder="1" applyAlignment="1">
      <alignment horizontal="right"/>
    </xf>
    <xf numFmtId="3" fontId="7" fillId="0" borderId="1" xfId="0" applyNumberFormat="1" applyFont="1" applyBorder="1" applyAlignment="1">
      <alignment horizontal="right"/>
    </xf>
    <xf numFmtId="165" fontId="8" fillId="0" borderId="1" xfId="0" applyNumberFormat="1" applyFont="1" applyBorder="1" applyAlignment="1">
      <alignment horizontal="right"/>
    </xf>
    <xf numFmtId="166" fontId="8" fillId="0" borderId="1" xfId="0" applyNumberFormat="1" applyFont="1" applyBorder="1" applyAlignment="1">
      <alignment horizontal="right"/>
    </xf>
    <xf numFmtId="0" fontId="6" fillId="0" borderId="1" xfId="0" applyFont="1" applyBorder="1" applyAlignment="1">
      <alignment horizontal="center"/>
    </xf>
    <xf numFmtId="164" fontId="8" fillId="0" borderId="1" xfId="0" applyNumberFormat="1" applyFont="1" applyBorder="1" applyAlignment="1">
      <alignment horizontal="right"/>
    </xf>
    <xf numFmtId="0" fontId="8" fillId="0" borderId="1" xfId="0" applyFont="1" applyBorder="1" applyAlignment="1">
      <alignment horizontal="center"/>
    </xf>
    <xf numFmtId="0" fontId="9" fillId="0" borderId="1" xfId="0" applyFont="1" applyBorder="1" applyAlignment="1">
      <alignment horizontal="left"/>
    </xf>
    <xf numFmtId="4" fontId="7" fillId="0" borderId="1" xfId="0" applyNumberFormat="1" applyFont="1" applyBorder="1" applyAlignment="1">
      <alignment horizontal="right"/>
    </xf>
    <xf numFmtId="3" fontId="8" fillId="0" borderId="1" xfId="0" applyNumberFormat="1" applyFont="1" applyBorder="1" applyAlignment="1">
      <alignment horizontal="right"/>
    </xf>
    <xf numFmtId="164" fontId="7" fillId="0" borderId="1" xfId="0" applyNumberFormat="1" applyFont="1" applyBorder="1" applyAlignment="1">
      <alignment horizontal="right"/>
    </xf>
    <xf numFmtId="167" fontId="8" fillId="0" borderId="1" xfId="0" applyNumberFormat="1" applyFont="1" applyBorder="1" applyAlignment="1">
      <alignment horizontal="right"/>
    </xf>
    <xf numFmtId="3" fontId="9" fillId="0" borderId="1" xfId="0" applyNumberFormat="1" applyFont="1" applyBorder="1" applyAlignment="1">
      <alignment horizontal="right"/>
    </xf>
    <xf numFmtId="0" fontId="3" fillId="0" borderId="1" xfId="0" applyFont="1" applyBorder="1"/>
    <xf numFmtId="3" fontId="11" fillId="0" borderId="1" xfId="0" applyNumberFormat="1" applyFont="1" applyBorder="1" applyAlignment="1">
      <alignment horizontal="right"/>
    </xf>
    <xf numFmtId="168" fontId="11" fillId="0" borderId="1" xfId="0" applyNumberFormat="1" applyFont="1" applyBorder="1" applyAlignment="1">
      <alignment horizontal="right"/>
    </xf>
    <xf numFmtId="169" fontId="11" fillId="0" borderId="1" xfId="0" applyNumberFormat="1" applyFont="1" applyBorder="1" applyAlignment="1">
      <alignment horizontal="right"/>
    </xf>
    <xf numFmtId="0" fontId="12" fillId="5" borderId="1" xfId="0" applyFont="1" applyFill="1" applyBorder="1" applyAlignment="1">
      <alignment horizontal="center" vertical="center" wrapText="1"/>
    </xf>
    <xf numFmtId="0" fontId="6" fillId="0" borderId="1" xfId="0" applyFont="1" applyBorder="1"/>
    <xf numFmtId="0" fontId="7" fillId="0" borderId="1" xfId="0" applyFont="1" applyBorder="1"/>
    <xf numFmtId="0" fontId="4" fillId="0" borderId="1" xfId="0" applyFont="1" applyBorder="1"/>
    <xf numFmtId="3" fontId="4" fillId="0" borderId="1" xfId="0" applyNumberFormat="1" applyFont="1" applyBorder="1" applyAlignment="1">
      <alignment horizontal="right"/>
    </xf>
    <xf numFmtId="168" fontId="8" fillId="0" borderId="1" xfId="0" applyNumberFormat="1" applyFont="1" applyBorder="1" applyAlignment="1">
      <alignment horizontal="right"/>
    </xf>
    <xf numFmtId="0" fontId="14" fillId="0" borderId="2" xfId="0" applyFont="1" applyBorder="1" applyAlignment="1">
      <alignment horizontal="right" vertical="center" wrapText="1"/>
    </xf>
    <xf numFmtId="0" fontId="14" fillId="0" borderId="2" xfId="0" applyFont="1" applyBorder="1" applyAlignment="1">
      <alignment horizontal="center" vertical="center" wrapText="1"/>
    </xf>
    <xf numFmtId="0" fontId="0" fillId="0" borderId="2" xfId="0" applyBorder="1" applyAlignment="1">
      <alignment horizontal="right" vertical="center" wrapText="1"/>
    </xf>
    <xf numFmtId="0" fontId="0" fillId="0" borderId="2" xfId="0" applyBorder="1" applyAlignment="1">
      <alignment vertical="center" wrapText="1"/>
    </xf>
    <xf numFmtId="0" fontId="1" fillId="2" borderId="0" xfId="0" applyFont="1" applyFill="1" applyBorder="1" applyAlignment="1">
      <alignment horizontal="left" vertical="center"/>
    </xf>
    <xf numFmtId="0" fontId="10" fillId="4" borderId="0" xfId="0" applyFont="1" applyFill="1" applyBorder="1" applyAlignment="1">
      <alignment horizontal="left" vertical="center"/>
    </xf>
    <xf numFmtId="0" fontId="14" fillId="0" borderId="0" xfId="0" applyFont="1" applyAlignment="1">
      <alignment horizontal="center" vertical="center" wrapText="1"/>
    </xf>
    <xf numFmtId="0" fontId="0" fillId="0" borderId="0" xfId="0" applyAlignment="1">
      <alignment vertical="center" wrapText="1"/>
    </xf>
    <xf numFmtId="0" fontId="14" fillId="0" borderId="0" xfId="0" applyFont="1" applyAlignment="1">
      <alignment horizontal="right" vertical="center" wrapText="1"/>
    </xf>
    <xf numFmtId="3" fontId="0" fillId="0" borderId="0" xfId="0" applyNumberFormat="1" applyAlignment="1">
      <alignment horizontal="right" vertical="center" wrapText="1"/>
    </xf>
    <xf numFmtId="176" fontId="3" fillId="0" borderId="1" xfId="0" applyNumberFormat="1" applyFont="1" applyBorder="1" applyAlignment="1">
      <alignment horizontal="right"/>
    </xf>
  </cellXfs>
  <cellStyles count="1">
    <cellStyle name="Normal" xfId="0" builtinId="0"/>
  </cellStyles>
  <dxfs count="54">
    <dxf>
      <font>
        <b val="0"/>
        <i val="0"/>
        <strike val="0"/>
        <condense val="0"/>
        <extend val="0"/>
        <outline val="0"/>
        <shadow val="0"/>
        <u val="none"/>
        <vertAlign val="baseline"/>
        <sz val="10"/>
        <color auto="1"/>
        <name val="Arial"/>
        <family val="2"/>
        <scheme val="none"/>
      </font>
      <numFmt numFmtId="176" formatCode="_-[$Rp-421]* #,##0_-;\-[$Rp-421]* #,##0_-;_-[$Rp-421]* &quot;-&quot;??_-;_-@_-"/>
      <alignment horizontal="right" vertical="bottom" textRotation="0" wrapText="0" indent="0" justifyLastLine="0" shrinkToFit="0" readingOrder="0"/>
      <border diagonalUp="0" diagonalDown="0" outline="0">
        <left style="thin">
          <color rgb="FFB7B7B7"/>
        </left>
        <right style="thin">
          <color rgb="FFB7B7B7"/>
        </right>
        <top style="thin">
          <color rgb="FFB7B7B7"/>
        </top>
        <bottom style="thin">
          <color rgb="FFB7B7B7"/>
        </bottom>
      </border>
    </dxf>
    <dxf>
      <border outline="0">
        <left style="thin">
          <color rgb="FFB7B7B7"/>
        </left>
      </border>
    </dxf>
    <dxf>
      <font>
        <b val="0"/>
        <i val="0"/>
        <strike val="0"/>
        <condense val="0"/>
        <extend val="0"/>
        <outline val="0"/>
        <shadow val="0"/>
        <u val="none"/>
        <vertAlign val="baseline"/>
        <sz val="10"/>
        <color auto="1"/>
        <name val="Arial"/>
        <family val="2"/>
        <scheme val="none"/>
      </font>
      <alignment horizontal="left" vertical="bottom" textRotation="0" wrapText="0" indent="0" justifyLastLine="0" shrinkToFit="0" readingOrder="0"/>
      <border diagonalUp="0" diagonalDown="0" outline="0">
        <left style="thin">
          <color rgb="FFB7B7B7"/>
        </left>
        <right style="thin">
          <color rgb="FFB7B7B7"/>
        </right>
        <top style="thin">
          <color rgb="FFB7B7B7"/>
        </top>
        <bottom style="thin">
          <color rgb="FFB7B7B7"/>
        </bottom>
      </border>
    </dxf>
    <dxf>
      <fill>
        <patternFill>
          <bgColor rgb="FFFFF2CC"/>
        </patternFill>
      </fill>
    </dxf>
    <dxf>
      <font>
        <b/>
        <color rgb="FFC00000"/>
        <name val="Arial"/>
        <charset val="1"/>
      </font>
      <fill>
        <patternFill>
          <bgColor rgb="FFF8CBAD"/>
        </patternFill>
      </fill>
    </dxf>
    <dxf>
      <font>
        <i/>
        <color rgb="FF808080"/>
        <name val="Arial"/>
        <charset val="1"/>
      </font>
    </dxf>
    <dxf>
      <font>
        <b/>
        <color rgb="FFC00000"/>
        <name val="Arial"/>
        <charset val="1"/>
      </font>
    </dxf>
    <dxf>
      <font>
        <i/>
        <color rgb="FFC00000"/>
        <name val="Arial"/>
        <charset val="1"/>
      </font>
    </dxf>
    <dxf>
      <fill>
        <patternFill>
          <bgColor rgb="FFE2EFDA"/>
        </patternFill>
      </fill>
    </dxf>
    <dxf>
      <fill>
        <patternFill>
          <bgColor rgb="FFFFF2CC"/>
        </patternFill>
      </fill>
    </dxf>
    <dxf>
      <font>
        <b/>
        <color rgb="FFC00000"/>
        <name val="Arial"/>
        <charset val="1"/>
      </font>
      <fill>
        <patternFill>
          <bgColor rgb="FFF8CBAD"/>
        </patternFill>
      </fill>
    </dxf>
    <dxf>
      <font>
        <b/>
        <color rgb="FFC00000"/>
        <name val="Arial"/>
        <charset val="1"/>
      </font>
    </dxf>
    <dxf>
      <font>
        <b/>
        <color rgb="FFC00000"/>
        <name val="Arial"/>
        <charset val="1"/>
      </font>
    </dxf>
    <dxf>
      <fill>
        <patternFill>
          <bgColor rgb="FFDDEBF7"/>
        </patternFill>
      </fill>
    </dxf>
    <dxf>
      <fill>
        <patternFill>
          <bgColor rgb="FFE2EFDA"/>
        </patternFill>
      </fill>
    </dxf>
    <dxf>
      <font>
        <b/>
        <color rgb="FFC00000"/>
        <name val="Arial"/>
        <charset val="1"/>
      </font>
    </dxf>
    <dxf>
      <font>
        <color rgb="FFC00000"/>
        <name val="Arial"/>
        <charset val="1"/>
      </font>
      <fill>
        <patternFill>
          <bgColor rgb="FFFFF2CC"/>
        </patternFill>
      </fill>
    </dxf>
    <dxf>
      <font>
        <i/>
        <color rgb="FF808080"/>
        <name val="Arial"/>
        <charset val="1"/>
      </font>
    </dxf>
    <dxf>
      <fill>
        <patternFill>
          <bgColor rgb="FFE2EFDA"/>
        </patternFill>
      </fill>
    </dxf>
    <dxf>
      <fill>
        <patternFill>
          <bgColor rgb="FFFFF2CC"/>
        </patternFill>
      </fill>
    </dxf>
    <dxf>
      <font>
        <b/>
        <color rgb="FFC00000"/>
        <name val="Arial"/>
        <charset val="1"/>
      </font>
      <fill>
        <patternFill>
          <bgColor rgb="FFF8CBAD"/>
        </patternFill>
      </fill>
    </dxf>
    <dxf>
      <font>
        <b/>
        <color rgb="FFC00000"/>
        <name val="Arial"/>
        <charset val="1"/>
      </font>
      <fill>
        <patternFill>
          <bgColor rgb="FFFCE4D6"/>
        </patternFill>
      </fill>
    </dxf>
    <dxf>
      <fill>
        <patternFill>
          <bgColor rgb="FFE2EFDA"/>
        </patternFill>
      </fill>
    </dxf>
    <dxf>
      <font>
        <b/>
        <color rgb="FFC00000"/>
        <name val="Arial"/>
        <charset val="1"/>
      </font>
      <fill>
        <patternFill>
          <bgColor rgb="FFF8CBAD"/>
        </patternFill>
      </fill>
    </dxf>
    <dxf>
      <font>
        <b/>
        <color rgb="FFC00000"/>
        <name val="Arial"/>
        <charset val="1"/>
      </font>
      <fill>
        <patternFill>
          <bgColor rgb="FFFCE4D6"/>
        </patternFill>
      </fill>
    </dxf>
    <dxf>
      <font>
        <color rgb="FFC00000"/>
        <name val="Arial"/>
        <charset val="1"/>
      </font>
    </dxf>
    <dxf>
      <fill>
        <patternFill>
          <bgColor rgb="FFE2EFDA"/>
        </patternFill>
      </fill>
    </dxf>
    <dxf>
      <font>
        <b/>
        <color rgb="FFC00000"/>
        <name val="Arial"/>
        <charset val="1"/>
      </font>
      <fill>
        <patternFill>
          <bgColor rgb="FFF8CBAD"/>
        </patternFill>
      </fill>
    </dxf>
    <dxf>
      <font>
        <b/>
        <color rgb="FFC00000"/>
        <name val="Arial"/>
        <charset val="1"/>
      </font>
      <fill>
        <patternFill>
          <bgColor rgb="FFF8CBAD"/>
        </patternFill>
      </fill>
    </dxf>
    <dxf>
      <font>
        <i/>
        <color rgb="FF808080"/>
        <name val="Arial"/>
        <charset val="1"/>
      </font>
    </dxf>
    <dxf>
      <font>
        <color rgb="FFC00000"/>
        <name val="Arial"/>
        <charset val="1"/>
      </font>
    </dxf>
    <dxf>
      <font>
        <b/>
        <color rgb="FFC00000"/>
        <name val="Arial"/>
        <charset val="1"/>
      </font>
      <fill>
        <patternFill>
          <bgColor rgb="FFFCE4D6"/>
        </patternFill>
      </fill>
    </dxf>
    <dxf>
      <fill>
        <patternFill>
          <bgColor rgb="FFFFF2CC"/>
        </patternFill>
      </fill>
    </dxf>
    <dxf>
      <font>
        <b/>
        <color rgb="FFC00000"/>
        <name val="Arial"/>
        <charset val="1"/>
      </font>
      <fill>
        <patternFill>
          <bgColor rgb="FFF8CBAD"/>
        </patternFill>
      </fill>
    </dxf>
    <dxf>
      <font>
        <color rgb="FFC00000"/>
        <name val="Arial"/>
        <charset val="1"/>
      </font>
    </dxf>
    <dxf>
      <fill>
        <patternFill>
          <bgColor rgb="FFE2EFDA"/>
        </patternFill>
      </fill>
    </dxf>
    <dxf>
      <font>
        <i/>
        <color rgb="FF808080"/>
        <name val="Arial"/>
        <charset val="1"/>
      </font>
      <fill>
        <patternFill>
          <bgColor rgb="FFD9D9D9"/>
        </patternFill>
      </fill>
    </dxf>
    <dxf>
      <font>
        <b/>
        <color rgb="FFC00000"/>
        <name val="Arial"/>
        <charset val="1"/>
      </font>
      <fill>
        <patternFill>
          <bgColor rgb="FFFCE4D6"/>
        </patternFill>
      </fill>
    </dxf>
    <dxf>
      <font>
        <color rgb="FF008000"/>
        <name val="Arial"/>
        <charset val="1"/>
      </font>
    </dxf>
    <dxf>
      <font>
        <color rgb="FFC00000"/>
        <name val="Arial"/>
        <charset val="1"/>
      </font>
    </dxf>
    <dxf>
      <font>
        <i/>
        <color rgb="FF808080"/>
        <name val="Arial"/>
        <charset val="1"/>
      </font>
    </dxf>
    <dxf>
      <fill>
        <patternFill>
          <bgColor rgb="FFFCE4D6"/>
        </patternFill>
      </fill>
    </dxf>
    <dxf>
      <fill>
        <patternFill>
          <bgColor rgb="FFD9D9D9"/>
        </patternFill>
      </fill>
    </dxf>
    <dxf>
      <font>
        <b/>
        <color rgb="FFC00000"/>
        <name val="Arial"/>
        <charset val="1"/>
      </font>
    </dxf>
    <dxf>
      <fill>
        <patternFill>
          <bgColor rgb="FFE2EFDA"/>
        </patternFill>
      </fill>
    </dxf>
    <dxf>
      <fill>
        <patternFill>
          <bgColor rgb="FFD9D9D9"/>
        </patternFill>
      </fill>
    </dxf>
    <dxf>
      <fill>
        <patternFill>
          <bgColor rgb="FFFFF2CC"/>
        </patternFill>
      </fill>
    </dxf>
    <dxf>
      <fill>
        <patternFill>
          <bgColor rgb="FFD9D9D9"/>
        </patternFill>
      </fill>
    </dxf>
    <dxf>
      <fill>
        <patternFill>
          <bgColor rgb="FFFFF2CC"/>
        </patternFill>
      </fill>
    </dxf>
    <dxf>
      <fill>
        <patternFill>
          <bgColor rgb="FFD9D9D9"/>
        </patternFill>
      </fill>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border diagonalUp="0" diagonalDown="0">
        <left style="thin">
          <color rgb="FFB7B7B7"/>
        </left>
        <right style="thin">
          <color rgb="FFB7B7B7"/>
        </right>
        <top style="thin">
          <color rgb="FFB7B7B7"/>
        </top>
        <bottom style="thin">
          <color rgb="FFB7B7B7"/>
        </bottom>
        <vertical/>
        <horizontal/>
      </border>
    </dxf>
    <dxf>
      <border outline="0">
        <left style="thin">
          <color rgb="FFB7B7B7"/>
        </left>
      </border>
    </dxf>
    <dxf>
      <alignment horizontal="left" vertical="bottom" textRotation="0" wrapText="0" indent="0" justifyLastLine="0" shrinkToFit="0" readingOrder="0"/>
    </dxf>
    <dxf>
      <border outline="0">
        <right style="thin">
          <color rgb="FFB7B7B7"/>
        </right>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7F7F"/>
      <rgbColor rgb="FF800080"/>
      <rgbColor rgb="FF008080"/>
      <rgbColor rgb="FFB7B7B7"/>
      <rgbColor rgb="FF808080"/>
      <rgbColor rgb="FF9999FF"/>
      <rgbColor rgb="FF993366"/>
      <rgbColor rgb="FFFFF2CC"/>
      <rgbColor rgb="FFDDEBF7"/>
      <rgbColor rgb="FF660066"/>
      <rgbColor rgb="FFFF8080"/>
      <rgbColor rgb="FF2E75B6"/>
      <rgbColor rgb="FFD9D9D9"/>
      <rgbColor rgb="FF000080"/>
      <rgbColor rgb="FFFF00FF"/>
      <rgbColor rgb="FFFFFF00"/>
      <rgbColor rgb="FF00FFFF"/>
      <rgbColor rgb="FF800080"/>
      <rgbColor rgb="FF800000"/>
      <rgbColor rgb="FF008080"/>
      <rgbColor rgb="FF0000FF"/>
      <rgbColor rgb="FF00CCFF"/>
      <rgbColor rgb="FFD9E2F3"/>
      <rgbColor rgb="FFE2EFDA"/>
      <rgbColor rgb="FFFCE4D6"/>
      <rgbColor rgb="FF99CCFF"/>
      <rgbColor rgb="FFFF99CC"/>
      <rgbColor rgb="FFCC99FF"/>
      <rgbColor rgb="FFF8CBAD"/>
      <rgbColor rgb="FF4472C4"/>
      <rgbColor rgb="FF33CCCC"/>
      <rgbColor rgb="FF99CC00"/>
      <rgbColor rgb="FFFFCC00"/>
      <rgbColor rgb="FFFF9900"/>
      <rgbColor rgb="FFFF6600"/>
      <rgbColor rgb="FF595959"/>
      <rgbColor rgb="FF878787"/>
      <rgbColor rgb="FF003366"/>
      <rgbColor rgb="FF4F81BD"/>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PO Status Breakdown</a:t>
            </a:r>
          </a:p>
        </c:rich>
      </c:tx>
      <c:overlay val="0"/>
      <c:spPr>
        <a:noFill/>
        <a:ln w="0">
          <a:noFill/>
        </a:ln>
      </c:spPr>
    </c:title>
    <c:autoTitleDeleted val="0"/>
    <c:plotArea>
      <c:layout/>
      <c:barChart>
        <c:barDir val="col"/>
        <c:grouping val="clustered"/>
        <c:varyColors val="0"/>
        <c:ser>
          <c:idx val="0"/>
          <c:order val="0"/>
          <c:tx>
            <c:strRef>
              <c:f>'12_Dashboard'!$B$14</c:f>
              <c:strCache>
                <c:ptCount val="1"/>
                <c:pt idx="0">
                  <c:v>Count</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'12_Dashboard'!$A$15:$A$18</c:f>
              <c:strCache>
                <c:ptCount val="4"/>
                <c:pt idx="0">
                  <c:v>Open</c:v>
                </c:pt>
                <c:pt idx="1">
                  <c:v>Partially Received</c:v>
                </c:pt>
                <c:pt idx="2">
                  <c:v>Closed</c:v>
                </c:pt>
                <c:pt idx="3">
                  <c:v>Cancelled</c:v>
                </c:pt>
              </c:strCache>
            </c:strRef>
          </c:cat>
          <c:val>
            <c:numRef>
              <c:f>'12_Dashboard'!$B$15:$B$18</c:f>
              <c:numCache>
                <c:formatCode>#,##0</c:formatCode>
                <c:ptCount val="4"/>
                <c:pt idx="0">
                  <c:v>4</c:v>
                </c:pt>
                <c:pt idx="1">
                  <c:v>2</c:v>
                </c:pt>
                <c:pt idx="2">
                  <c:v>3</c:v>
                </c:pt>
                <c:pt idx="3">
                  <c:v>1</c:v>
                </c:pt>
              </c:numCache>
            </c:numRef>
          </c:val>
          <c:extLst>
            <c:ext xmlns:c16="http://schemas.microsoft.com/office/drawing/2014/chart" uri="{C3380CC4-5D6E-409C-BE32-E72D297353CC}">
              <c16:uniqueId val="{00000000-7A17-4335-84C5-9476371986B2}"/>
            </c:ext>
          </c:extLst>
        </c:ser>
        <c:dLbls>
          <c:showLegendKey val="0"/>
          <c:showVal val="0"/>
          <c:showCatName val="0"/>
          <c:showSerName val="0"/>
          <c:showPercent val="0"/>
          <c:showBubbleSize val="0"/>
        </c:dLbls>
        <c:gapWidth val="150"/>
        <c:axId val="21827642"/>
        <c:axId val="38025954"/>
      </c:barChart>
      <c:catAx>
        <c:axId val="218276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025954"/>
        <c:crosses val="autoZero"/>
        <c:auto val="1"/>
        <c:lblAlgn val="ctr"/>
        <c:lblOffset val="100"/>
        <c:noMultiLvlLbl val="0"/>
      </c:catAx>
      <c:valAx>
        <c:axId val="3802595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182764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Supplier Spend (Rp)</a:t>
            </a:r>
          </a:p>
        </c:rich>
      </c:tx>
      <c:overlay val="0"/>
      <c:spPr>
        <a:noFill/>
        <a:ln w="0">
          <a:noFill/>
        </a:ln>
      </c:spPr>
    </c:title>
    <c:autoTitleDeleted val="0"/>
    <c:plotArea>
      <c:layout/>
      <c:barChart>
        <c:barDir val="col"/>
        <c:grouping val="clustered"/>
        <c:varyColors val="0"/>
        <c:ser>
          <c:idx val="0"/>
          <c:order val="0"/>
          <c:tx>
            <c:strRef>
              <c:f>'12_Dashboard'!$D$21</c:f>
              <c:strCache>
                <c:ptCount val="1"/>
                <c:pt idx="0">
                  <c:v>Total Spend (Rp)</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'12_Dashboard'!$A$22:$A$27</c:f>
              <c:strCache>
                <c:ptCount val="6"/>
                <c:pt idx="0">
                  <c:v>SUP-0005</c:v>
                </c:pt>
                <c:pt idx="1">
                  <c:v>SUP-0009</c:v>
                </c:pt>
                <c:pt idx="2">
                  <c:v>SUP-0012</c:v>
                </c:pt>
                <c:pt idx="3">
                  <c:v>SUP-0014</c:v>
                </c:pt>
                <c:pt idx="4">
                  <c:v>SUP-0021</c:v>
                </c:pt>
                <c:pt idx="5">
                  <c:v>SUP-0033</c:v>
                </c:pt>
              </c:strCache>
            </c:strRef>
          </c:cat>
          <c:val>
            <c:numRef>
              <c:f>'12_Dashboard'!$D$22:$D$27</c:f>
              <c:numCache>
                <c:formatCode>#,##0</c:formatCode>
                <c:ptCount val="6"/>
                <c:pt idx="0">
                  <c:v>9725</c:v>
                </c:pt>
                <c:pt idx="1">
                  <c:v>2067</c:v>
                </c:pt>
                <c:pt idx="2">
                  <c:v>9060</c:v>
                </c:pt>
                <c:pt idx="3">
                  <c:v>0</c:v>
                </c:pt>
                <c:pt idx="4">
                  <c:v>7200</c:v>
                </c:pt>
                <c:pt idx="5">
                  <c:v>4700</c:v>
                </c:pt>
              </c:numCache>
            </c:numRef>
          </c:val>
          <c:extLst>
            <c:ext xmlns:c16="http://schemas.microsoft.com/office/drawing/2014/chart" uri="{C3380CC4-5D6E-409C-BE32-E72D297353CC}">
              <c16:uniqueId val="{00000000-CE76-476E-9A22-4FF4AEB85A14}"/>
            </c:ext>
          </c:extLst>
        </c:ser>
        <c:dLbls>
          <c:showLegendKey val="0"/>
          <c:showVal val="0"/>
          <c:showCatName val="0"/>
          <c:showSerName val="0"/>
          <c:showPercent val="0"/>
          <c:showBubbleSize val="0"/>
        </c:dLbls>
        <c:gapWidth val="150"/>
        <c:axId val="44802014"/>
        <c:axId val="38650012"/>
      </c:barChart>
      <c:catAx>
        <c:axId val="4480201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650012"/>
        <c:crosses val="autoZero"/>
        <c:auto val="1"/>
        <c:lblAlgn val="ctr"/>
        <c:lblOffset val="100"/>
        <c:noMultiLvlLbl val="0"/>
      </c:catAx>
      <c:valAx>
        <c:axId val="3865001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Rp</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80201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Inventory Value by Material (Rp)</a:t>
            </a:r>
          </a:p>
        </c:rich>
      </c:tx>
      <c:overlay val="0"/>
      <c:spPr>
        <a:noFill/>
        <a:ln w="0">
          <a:noFill/>
        </a:ln>
      </c:spPr>
    </c:title>
    <c:autoTitleDeleted val="0"/>
    <c:plotArea>
      <c:layout/>
      <c:barChart>
        <c:barDir val="col"/>
        <c:grouping val="clustered"/>
        <c:varyColors val="0"/>
        <c:ser>
          <c:idx val="0"/>
          <c:order val="0"/>
          <c:tx>
            <c:strRef>
              <c:f>'12_Dashboard'!$G$32</c:f>
              <c:strCache>
                <c:ptCount val="1"/>
                <c:pt idx="0">
                  <c:v>Inventory Value (Rp)</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'12_Dashboard'!$A$33:$A$37</c:f>
              <c:strCache>
                <c:ptCount val="5"/>
                <c:pt idx="0">
                  <c:v>MAT-00001</c:v>
                </c:pt>
                <c:pt idx="1">
                  <c:v>MAT-00003</c:v>
                </c:pt>
                <c:pt idx="2">
                  <c:v>MAT-00004</c:v>
                </c:pt>
                <c:pt idx="3">
                  <c:v>MAT-00008</c:v>
                </c:pt>
                <c:pt idx="4">
                  <c:v>MAT-00014</c:v>
                </c:pt>
              </c:strCache>
            </c:strRef>
          </c:cat>
          <c:val>
            <c:numRef>
              <c:f>'12_Dashboard'!$G$33:$G$37</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0-60FF-4FF2-9597-A959C494782E}"/>
            </c:ext>
          </c:extLst>
        </c:ser>
        <c:dLbls>
          <c:showLegendKey val="0"/>
          <c:showVal val="0"/>
          <c:showCatName val="0"/>
          <c:showSerName val="0"/>
          <c:showPercent val="0"/>
          <c:showBubbleSize val="0"/>
        </c:dLbls>
        <c:gapWidth val="150"/>
        <c:axId val="91608328"/>
        <c:axId val="55813662"/>
      </c:barChart>
      <c:catAx>
        <c:axId val="9160832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813662"/>
        <c:crosses val="autoZero"/>
        <c:auto val="1"/>
        <c:lblAlgn val="ctr"/>
        <c:lblOffset val="100"/>
        <c:noMultiLvlLbl val="0"/>
      </c:catAx>
      <c:valAx>
        <c:axId val="5581366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Rp</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60832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Location Utilization %</a:t>
            </a:r>
          </a:p>
        </c:rich>
      </c:tx>
      <c:overlay val="0"/>
      <c:spPr>
        <a:noFill/>
        <a:ln w="0">
          <a:noFill/>
        </a:ln>
      </c:spPr>
    </c:title>
    <c:autoTitleDeleted val="0"/>
    <c:plotArea>
      <c:layout/>
      <c:barChart>
        <c:barDir val="col"/>
        <c:grouping val="clustered"/>
        <c:varyColors val="0"/>
        <c:ser>
          <c:idx val="0"/>
          <c:order val="0"/>
          <c:tx>
            <c:strRef>
              <c:f>'12_Dashboard'!$E$41</c:f>
              <c:strCache>
                <c:ptCount val="1"/>
                <c:pt idx="0">
                  <c:v>Utilization %</c:v>
                </c:pt>
              </c:strCache>
            </c:strRef>
          </c:tx>
          <c:spPr>
            <a:solidFill>
              <a:srgbClr val="4F81BD"/>
            </a:solidFill>
            <a:ln w="0">
              <a:noFill/>
            </a:ln>
          </c:spPr>
          <c:invertIfNegative val="0"/>
          <c:cat>
            <c:strRef>
              <c:f>'12_Dashboard'!$A$42:$A$52</c:f>
              <c:strCache>
                <c:ptCount val="11"/>
                <c:pt idx="0">
                  <c:v>RCV-DOCK-01</c:v>
                </c:pt>
                <c:pt idx="1">
                  <c:v>RCV-DOCK-02</c:v>
                </c:pt>
                <c:pt idx="2">
                  <c:v>BLK-A-01</c:v>
                </c:pt>
                <c:pt idx="3">
                  <c:v>BLK-A-02</c:v>
                </c:pt>
                <c:pt idx="4">
                  <c:v>RCK-B-01-01</c:v>
                </c:pt>
                <c:pt idx="5">
                  <c:v>RCK-B-01-02</c:v>
                </c:pt>
                <c:pt idx="6">
                  <c:v>RCK-B-02-01</c:v>
                </c:pt>
                <c:pt idx="7">
                  <c:v>HAZ-C-01</c:v>
                </c:pt>
                <c:pt idx="8">
                  <c:v>QC-HOLD-01</c:v>
                </c:pt>
                <c:pt idx="9">
                  <c:v>SHP-STG-01</c:v>
                </c:pt>
                <c:pt idx="10">
                  <c:v>RCK-B-03-01</c:v>
                </c:pt>
              </c:strCache>
            </c:strRef>
          </c:cat>
          <c:val>
            <c:numRef>
              <c:f>'12_Dashboard'!$E$42:$E$52</c:f>
              <c:numCache>
                <c:formatCode>0.0%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366A-4CE2-B48C-79459762637F}"/>
            </c:ext>
          </c:extLst>
        </c:ser>
        <c:dLbls>
          <c:showLegendKey val="0"/>
          <c:showVal val="0"/>
          <c:showCatName val="0"/>
          <c:showSerName val="0"/>
          <c:showPercent val="0"/>
          <c:showBubbleSize val="0"/>
        </c:dLbls>
        <c:gapWidth val="150"/>
        <c:axId val="88916477"/>
        <c:axId val="61576205"/>
      </c:barChart>
      <c:catAx>
        <c:axId val="889164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576205"/>
        <c:crosses val="autoZero"/>
        <c:auto val="1"/>
        <c:lblAlgn val="ctr"/>
        <c:lblOffset val="100"/>
        <c:noMultiLvlLbl val="0"/>
      </c:catAx>
      <c:valAx>
        <c:axId val="6157620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91647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xdr:row>
      <xdr:rowOff>0</xdr:rowOff>
    </xdr:from>
    <xdr:to>
      <xdr:col>16</xdr:col>
      <xdr:colOff>147600</xdr:colOff>
      <xdr:row>14</xdr:row>
      <xdr:rowOff>119520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17</xdr:row>
      <xdr:rowOff>0</xdr:rowOff>
    </xdr:from>
    <xdr:to>
      <xdr:col>16</xdr:col>
      <xdr:colOff>147600</xdr:colOff>
      <xdr:row>29</xdr:row>
      <xdr:rowOff>176400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31</xdr:row>
      <xdr:rowOff>190440</xdr:rowOff>
    </xdr:from>
    <xdr:to>
      <xdr:col>16</xdr:col>
      <xdr:colOff>147600</xdr:colOff>
      <xdr:row>44</xdr:row>
      <xdr:rowOff>83160</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46</xdr:row>
      <xdr:rowOff>97200</xdr:rowOff>
    </xdr:from>
    <xdr:to>
      <xdr:col>16</xdr:col>
      <xdr:colOff>147600</xdr:colOff>
      <xdr:row>59</xdr:row>
      <xdr:rowOff>83160</xdr:rowOff>
    </xdr:to>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bl_MasterMaterial" displayName="tbl_MasterMaterial" ref="A3:N23" totalsRowShown="0">
  <autoFilter ref="A3:N23" xr:uid="{00000000-000C-0000-FFFF-FFFF00000000}"/>
  <tableColumns count="14">
    <tableColumn id="1" xr3:uid="{00000000-0010-0000-0000-000001000000}" name="Material Code" dataDxfId="53"/>
    <tableColumn id="2" xr3:uid="{00000000-0010-0000-0000-000002000000}" name="Material Description" dataDxfId="52"/>
    <tableColumn id="3" xr3:uid="{00000000-0010-0000-0000-000003000000}" name="Material Group" dataDxfId="51"/>
    <tableColumn id="4" xr3:uid="{00000000-0010-0000-0000-000004000000}" name="Base UoM"/>
    <tableColumn id="7" xr3:uid="{00000000-0010-0000-0000-000007000000}" name="Primary Supplier Code"/>
    <tableColumn id="24" xr3:uid="{0F116849-4911-4B80-B390-3C1C1D0A9D49}" name="Default Storage Location" dataDxfId="2"/>
    <tableColumn id="8" xr3:uid="{00000000-0010-0000-0000-000008000000}" name="Standard Cost (per Base UoM)" dataDxfId="0"/>
    <tableColumn id="10" xr3:uid="{00000000-0010-0000-0000-00000A000000}" name="Criticality Flag" dataDxfId="1"/>
    <tableColumn id="11" xr3:uid="{00000000-0010-0000-0000-00000B000000}" name="Storage/Handling Class"/>
    <tableColumn id="12" xr3:uid="{00000000-0010-0000-0000-00000C000000}" name="Min Stock Level"/>
    <tableColumn id="13" xr3:uid="{00000000-0010-0000-0000-00000D000000}" name="Max Stock Level"/>
    <tableColumn id="14" xr3:uid="{00000000-0010-0000-0000-00000E000000}" name="Lead Time (Days)"/>
    <tableColumn id="15" xr3:uid="{00000000-0010-0000-0000-00000F000000}" name="Status"/>
    <tableColumn id="22" xr3:uid="{BC7C3BEF-CB66-4A5F-9E71-E29F8E60C070}" name="Remarks" dataDxfId="5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bl_MasterSupplier" displayName="tbl_MasterSupplier" ref="A3:J13" totalsRowShown="0">
  <autoFilter ref="A3:J13" xr:uid="{00000000-0009-0000-0100-000006000000}"/>
  <tableColumns count="10">
    <tableColumn id="1" xr3:uid="{00000000-0010-0000-0100-000001000000}" name="Supplier Code"/>
    <tableColumn id="2" xr3:uid="{00000000-0010-0000-0100-000002000000}" name="Supplier Name"/>
    <tableColumn id="3" xr3:uid="{00000000-0010-0000-0100-000003000000}" name="Supplier Type"/>
    <tableColumn id="4" xr3:uid="{00000000-0010-0000-0100-000004000000}" name="Supplier Category"/>
    <tableColumn id="5" xr3:uid="{00000000-0010-0000-0100-000005000000}" name="Country"/>
    <tableColumn id="6" xr3:uid="{00000000-0010-0000-0100-000006000000}" name="Contact Person"/>
    <tableColumn id="7" xr3:uid="{00000000-0010-0000-0100-000007000000}" name="Contact Email"/>
    <tableColumn id="8" xr3:uid="{00000000-0010-0000-0100-000008000000}" name="Contact Phone"/>
    <tableColumn id="9" xr3:uid="{00000000-0010-0000-0100-000009000000}" name="Supplier Rating"/>
    <tableColumn id="10" xr3:uid="{00000000-0010-0000-0100-00000A000000}" name="Statu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bl_MasterLocation" displayName="tbl_MasterLocation" ref="A3:G14" totalsRowShown="0">
  <autoFilter ref="A3:G14" xr:uid="{00000000-0009-0000-0100-000004000000}"/>
  <tableColumns count="7">
    <tableColumn id="1" xr3:uid="{00000000-0010-0000-0200-000001000000}" name="Location Code"/>
    <tableColumn id="2" xr3:uid="{00000000-0010-0000-0200-000002000000}" name="Location Description"/>
    <tableColumn id="3" xr3:uid="{00000000-0010-0000-0200-000003000000}" name="Zone"/>
    <tableColumn id="4" xr3:uid="{00000000-0010-0000-0200-000004000000}" name="Storage/Handling Requirement"/>
    <tableColumn id="5" xr3:uid="{00000000-0010-0000-0200-000005000000}" name="Pickable Flag"/>
    <tableColumn id="6" xr3:uid="{00000000-0010-0000-0200-000006000000}" name="Capacity (Max Qty)"/>
    <tableColumn id="7" xr3:uid="{00000000-0010-0000-0200-000007000000}" name="Statu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tbl_PurchaseOrder" displayName="tbl_PurchaseOrder" ref="A3:V13" totalsRowShown="0">
  <autoFilter ref="A3:V13" xr:uid="{00000000-0009-0000-0100-000009000000}"/>
  <tableColumns count="22">
    <tableColumn id="1" xr3:uid="{00000000-0010-0000-0300-000001000000}" name="PO Number"/>
    <tableColumn id="2" xr3:uid="{00000000-0010-0000-0300-000002000000}" name="PO Line"/>
    <tableColumn id="3" xr3:uid="{00000000-0010-0000-0300-000003000000}" name="PO Date"/>
    <tableColumn id="4" xr3:uid="{00000000-0010-0000-0300-000004000000}" name="Supplier Code"/>
    <tableColumn id="5" xr3:uid="{00000000-0010-0000-0300-000005000000}" name="Supplier Name"/>
    <tableColumn id="6" xr3:uid="{00000000-0010-0000-0300-000006000000}" name="Material Code"/>
    <tableColumn id="7" xr3:uid="{00000000-0010-0000-0300-000007000000}" name="Material Description"/>
    <tableColumn id="8" xr3:uid="{00000000-0010-0000-0300-000008000000}" name="Purchase UoM"/>
    <tableColumn id="9" xr3:uid="{00000000-0010-0000-0300-000009000000}" name="Order Quantity"/>
    <tableColumn id="10" xr3:uid="{00000000-0010-0000-0300-00000A000000}" name="Unit Price"/>
    <tableColumn id="11" xr3:uid="{00000000-0010-0000-0300-00000B000000}" name="Line Total"/>
    <tableColumn id="12" xr3:uid="{00000000-0010-0000-0300-00000C000000}" name="Conversion Factor (Ref)"/>
    <tableColumn id="13" xr3:uid="{00000000-0010-0000-0300-00000D000000}" name="Standard Cost Equivalent"/>
    <tableColumn id="14" xr3:uid="{00000000-0010-0000-0300-00000E000000}" name="Price Variance"/>
    <tableColumn id="15" xr3:uid="{00000000-0010-0000-0300-00000F000000}" name="Price Variance %"/>
    <tableColumn id="16" xr3:uid="{00000000-0010-0000-0300-000010000000}" name="Order Priority"/>
    <tableColumn id="17" xr3:uid="{00000000-0010-0000-0300-000011000000}" name="Lead Time (Days) Ref"/>
    <tableColumn id="18" xr3:uid="{00000000-0010-0000-0300-000012000000}" name="Expected Delivery Date"/>
    <tableColumn id="19" xr3:uid="{00000000-0010-0000-0300-000013000000}" name="Cancelled Flag"/>
    <tableColumn id="20" xr3:uid="{00000000-0010-0000-0300-000014000000}" name="PO Status"/>
    <tableColumn id="21" xr3:uid="{00000000-0010-0000-0300-000015000000}" name="Remarks"/>
    <tableColumn id="22" xr3:uid="{00000000-0010-0000-0300-000016000000}" name="PO Line Key (Helper)"/>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bl_GoodsReceipt" displayName="tbl_GoodsReceipt" ref="A3:Z8" totalsRowShown="0">
  <autoFilter ref="A3:Z8" xr:uid="{00000000-0009-0000-0100-000003000000}"/>
  <tableColumns count="26">
    <tableColumn id="1" xr3:uid="{00000000-0010-0000-0400-000001000000}" name="GR Number"/>
    <tableColumn id="2" xr3:uid="{00000000-0010-0000-0400-000002000000}" name="GR Line"/>
    <tableColumn id="3" xr3:uid="{00000000-0010-0000-0400-000003000000}" name="GR Date"/>
    <tableColumn id="4" xr3:uid="{00000000-0010-0000-0400-000004000000}" name="PO Number"/>
    <tableColumn id="5" xr3:uid="{00000000-0010-0000-0400-000005000000}" name="PO Line"/>
    <tableColumn id="6" xr3:uid="{00000000-0010-0000-0400-000006000000}" name="PO Line Key (Helper)"/>
    <tableColumn id="7" xr3:uid="{00000000-0010-0000-0400-000007000000}" name="Supplier Name"/>
    <tableColumn id="8" xr3:uid="{00000000-0010-0000-0400-000008000000}" name="Material Code"/>
    <tableColumn id="9" xr3:uid="{00000000-0010-0000-0400-000009000000}" name="Material Description"/>
    <tableColumn id="10" xr3:uid="{00000000-0010-0000-0400-00000A000000}" name="Order Quantity (Ref)"/>
    <tableColumn id="11" xr3:uid="{00000000-0010-0000-0400-00000B000000}" name="Unit Price (Ref)"/>
    <tableColumn id="12" xr3:uid="{00000000-0010-0000-0400-00000C000000}" name="UoM (Ref)"/>
    <tableColumn id="13" xr3:uid="{00000000-0010-0000-0400-00000D000000}" name="Quantity Received"/>
    <tableColumn id="14" xr3:uid="{00000000-0010-0000-0400-00000E000000}" name="Quantity Accepted"/>
    <tableColumn id="15" xr3:uid="{00000000-0010-0000-0400-00000F000000}" name="Quantity Rejected"/>
    <tableColumn id="16" xr3:uid="{00000000-0010-0000-0400-000010000000}" name="Inspection Result"/>
    <tableColumn id="17" xr3:uid="{00000000-0010-0000-0400-000011000000}" name="Rejection Reason"/>
    <tableColumn id="18" xr3:uid="{00000000-0010-0000-0400-000012000000}" name="Batch/Lot Number"/>
    <tableColumn id="19" xr3:uid="{00000000-0010-0000-0400-000013000000}" name="Receiving Location (Dock)"/>
    <tableColumn id="20" xr3:uid="{00000000-0010-0000-0400-000014000000}" name="Expected Delivery Date (Ref)"/>
    <tableColumn id="21" xr3:uid="{00000000-0010-0000-0400-000015000000}" name="Delivery Status"/>
    <tableColumn id="22" xr3:uid="{00000000-0010-0000-0400-000016000000}" name="Quantity Variance"/>
    <tableColumn id="23" xr3:uid="{00000000-0010-0000-0400-000017000000}" name="Quantity Variance %"/>
    <tableColumn id="24" xr3:uid="{00000000-0010-0000-0400-000018000000}" name="Put-Away Status"/>
    <tableColumn id="25" xr3:uid="{00000000-0010-0000-0400-000019000000}" name="Remarks"/>
    <tableColumn id="26" xr3:uid="{00000000-0010-0000-0400-00001A000000}" name="GR Line Key (Helper)"/>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tbl_PutAway" displayName="tbl_PutAway" ref="A3:V8" totalsRowShown="0">
  <autoFilter ref="A3:V8" xr:uid="{00000000-0009-0000-0100-00000A000000}"/>
  <tableColumns count="22">
    <tableColumn id="1" xr3:uid="{00000000-0010-0000-0500-000001000000}" name="Put-Away Number"/>
    <tableColumn id="2" xr3:uid="{00000000-0010-0000-0500-000002000000}" name="Put-Away Line"/>
    <tableColumn id="3" xr3:uid="{00000000-0010-0000-0500-000003000000}" name="Put-Away Date"/>
    <tableColumn id="4" xr3:uid="{00000000-0010-0000-0500-000004000000}" name="GR Number"/>
    <tableColumn id="5" xr3:uid="{00000000-0010-0000-0500-000005000000}" name="GR Line"/>
    <tableColumn id="6" xr3:uid="{00000000-0010-0000-0500-000006000000}" name="GR Line Key (Helper)"/>
    <tableColumn id="7" xr3:uid="{00000000-0010-0000-0500-000007000000}" name="Material Code"/>
    <tableColumn id="8" xr3:uid="{00000000-0010-0000-0500-000008000000}" name="Material Description"/>
    <tableColumn id="9" xr3:uid="{00000000-0010-0000-0500-000009000000}" name="Quantity Accepted (Ref, Purchase UoM)"/>
    <tableColumn id="10" xr3:uid="{00000000-0010-0000-0500-00000A000000}" name="Purchase UoM (Ref)"/>
    <tableColumn id="11" xr3:uid="{00000000-0010-0000-0500-00000B000000}" name="Conversion Factor (Ref)"/>
    <tableColumn id="12" xr3:uid="{00000000-0010-0000-0500-00000C000000}" name="Quantity Put-Away (Base UoM)"/>
    <tableColumn id="13" xr3:uid="{00000000-0010-0000-0500-00000D000000}" name="Base UoM (Ref)"/>
    <tableColumn id="14" xr3:uid="{00000000-0010-0000-0500-00000E000000}" name="Storage/Handling Class (Ref)"/>
    <tableColumn id="15" xr3:uid="{00000000-0010-0000-0500-00000F000000}" name="Putaway Location"/>
    <tableColumn id="16" xr3:uid="{00000000-0010-0000-0500-000010000000}" name="Location Storage/Handling Requirement (Ref)"/>
    <tableColumn id="17" xr3:uid="{00000000-0010-0000-0500-000011000000}" name="Location Match Check"/>
    <tableColumn id="18" xr3:uid="{00000000-0010-0000-0500-000012000000}" name="Putaway Status"/>
    <tableColumn id="19" xr3:uid="{00000000-0010-0000-0500-000013000000}" name="GR Date (Ref)"/>
    <tableColumn id="20" xr3:uid="{00000000-0010-0000-0500-000014000000}" name="Putaway Lead Time (Days)"/>
    <tableColumn id="21" xr3:uid="{00000000-0010-0000-0500-000015000000}" name="Remarks"/>
    <tableColumn id="22" xr3:uid="{00000000-0010-0000-0500-000016000000}" name="Put-Away Line Key (Helper)"/>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MaterialRequest" displayName="tbl_MaterialRequest" ref="A3:Q8" totalsRowShown="0">
  <autoFilter ref="A3:Q8" xr:uid="{00000000-0009-0000-0100-000007000000}"/>
  <tableColumns count="17">
    <tableColumn id="1" xr3:uid="{00000000-0010-0000-0600-000001000000}" name="Request Number"/>
    <tableColumn id="2" xr3:uid="{00000000-0010-0000-0600-000002000000}" name="Request Line"/>
    <tableColumn id="3" xr3:uid="{00000000-0010-0000-0600-000003000000}" name="Request Date"/>
    <tableColumn id="4" xr3:uid="{00000000-0010-0000-0600-000004000000}" name="Requesting Department"/>
    <tableColumn id="5" xr3:uid="{00000000-0010-0000-0600-000005000000}" name="Material Code"/>
    <tableColumn id="6" xr3:uid="{00000000-0010-0000-0600-000006000000}" name="Material Description"/>
    <tableColumn id="7" xr3:uid="{00000000-0010-0000-0600-000007000000}" name="Base UoM (Ref)"/>
    <tableColumn id="8" xr3:uid="{00000000-0010-0000-0600-000008000000}" name="Quantity Requested"/>
    <tableColumn id="9" xr3:uid="{00000000-0010-0000-0600-000009000000}" name="Request Priority"/>
    <tableColumn id="10" xr3:uid="{00000000-0010-0000-0600-00000A000000}" name="Required Date"/>
    <tableColumn id="11" xr3:uid="{00000000-0010-0000-0600-00000B000000}" name="Total Put-Away (Ref)"/>
    <tableColumn id="12" xr3:uid="{00000000-0010-0000-0600-00000C000000}" name="Total Issued (Ref)"/>
    <tableColumn id="13" xr3:uid="{00000000-0010-0000-0600-00000D000000}" name="Available Stock (Calculated)"/>
    <tableColumn id="14" xr3:uid="{00000000-0010-0000-0600-00000E000000}" name="Stock Sufficiency Check"/>
    <tableColumn id="15" xr3:uid="{00000000-0010-0000-0600-00000F000000}" name="Request Status"/>
    <tableColumn id="16" xr3:uid="{00000000-0010-0000-0600-000010000000}" name="Remarks"/>
    <tableColumn id="17" xr3:uid="{00000000-0010-0000-0600-000011000000}" name="Request Line Key (Helper)"/>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PickingList" displayName="tbl_PickingList" ref="A3:T8" totalsRowShown="0">
  <autoFilter ref="A3:T8" xr:uid="{00000000-0009-0000-0100-000008000000}"/>
  <tableColumns count="20">
    <tableColumn id="1" xr3:uid="{00000000-0010-0000-0700-000001000000}" name="Pick Number"/>
    <tableColumn id="2" xr3:uid="{00000000-0010-0000-0700-000002000000}" name="Pick Line"/>
    <tableColumn id="3" xr3:uid="{00000000-0010-0000-0700-000003000000}" name="Pick Date"/>
    <tableColumn id="4" xr3:uid="{00000000-0010-0000-0700-000004000000}" name="Request Number"/>
    <tableColumn id="5" xr3:uid="{00000000-0010-0000-0700-000005000000}" name="Request Line"/>
    <tableColumn id="6" xr3:uid="{00000000-0010-0000-0700-000006000000}" name="Request Line Key (Helper)"/>
    <tableColumn id="7" xr3:uid="{00000000-0010-0000-0700-000007000000}" name="Material Code"/>
    <tableColumn id="8" xr3:uid="{00000000-0010-0000-0700-000008000000}" name="Material Description"/>
    <tableColumn id="9" xr3:uid="{00000000-0010-0000-0700-000009000000}" name="Requesting Department (Ref)"/>
    <tableColumn id="10" xr3:uid="{00000000-0010-0000-0700-00000A000000}" name="Request Priority (Ref)"/>
    <tableColumn id="11" xr3:uid="{00000000-0010-0000-0700-00000B000000}" name="Quantity Requested (Ref)"/>
    <tableColumn id="12" xr3:uid="{00000000-0010-0000-0700-00000C000000}" name="Pick Location (Ref)"/>
    <tableColumn id="13" xr3:uid="{00000000-0010-0000-0700-00000D000000}" name="Pick Location Pickable Check (Ref)"/>
    <tableColumn id="14" xr3:uid="{00000000-0010-0000-0700-00000E000000}" name="Available Stock (Calculated)"/>
    <tableColumn id="15" xr3:uid="{00000000-0010-0000-0700-00000F000000}" name="Quantity Allocated (Calculated)"/>
    <tableColumn id="16" xr3:uid="{00000000-0010-0000-0700-000010000000}" name="Quantity Picked"/>
    <tableColumn id="17" xr3:uid="{00000000-0010-0000-0700-000011000000}" name="Pick Status"/>
    <tableColumn id="18" xr3:uid="{00000000-0010-0000-0700-000012000000}" name="Short-Pick Reason"/>
    <tableColumn id="19" xr3:uid="{00000000-0010-0000-0700-000013000000}" name="Remarks"/>
    <tableColumn id="20" xr3:uid="{00000000-0010-0000-0700-000014000000}" name="Pick Line Key (Helper)"/>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8000000}" name="tbl_GoodsIssue" displayName="tbl_GoodsIssue" ref="A3:Q8" totalsRowShown="0">
  <autoFilter ref="A3:Q8" xr:uid="{00000000-0009-0000-0100-000002000000}"/>
  <tableColumns count="17">
    <tableColumn id="1" xr3:uid="{00000000-0010-0000-0800-000001000000}" name="GI Number"/>
    <tableColumn id="2" xr3:uid="{00000000-0010-0000-0800-000002000000}" name="GI Line"/>
    <tableColumn id="3" xr3:uid="{00000000-0010-0000-0800-000003000000}" name="GI Date"/>
    <tableColumn id="4" xr3:uid="{00000000-0010-0000-0800-000004000000}" name="Pick Number"/>
    <tableColumn id="5" xr3:uid="{00000000-0010-0000-0800-000005000000}" name="Pick Line"/>
    <tableColumn id="6" xr3:uid="{00000000-0010-0000-0800-000006000000}" name="Pick Line Key (Helper)"/>
    <tableColumn id="7" xr3:uid="{00000000-0010-0000-0800-000007000000}" name="Material Code"/>
    <tableColumn id="8" xr3:uid="{00000000-0010-0000-0800-000008000000}" name="Material Description"/>
    <tableColumn id="9" xr3:uid="{00000000-0010-0000-0800-000009000000}" name="Base UoM (Ref)"/>
    <tableColumn id="10" xr3:uid="{00000000-0010-0000-0800-00000A000000}" name="Issuing Location (Ref)"/>
    <tableColumn id="11" xr3:uid="{00000000-0010-0000-0800-00000B000000}" name="Requesting Department (Ref)"/>
    <tableColumn id="12" xr3:uid="{00000000-0010-0000-0800-00000C000000}" name="Quantity Picked (Ref)"/>
    <tableColumn id="13" xr3:uid="{00000000-0010-0000-0800-00000D000000}" name="Quantity Issued"/>
    <tableColumn id="14" xr3:uid="{00000000-0010-0000-0800-00000E000000}" name="Issue Variance"/>
    <tableColumn id="15" xr3:uid="{00000000-0010-0000-0800-00000F000000}" name="Issue Variance Reason"/>
    <tableColumn id="16" xr3:uid="{00000000-0010-0000-0800-000010000000}" name="Remarks"/>
    <tableColumn id="17" xr3:uid="{00000000-0010-0000-0800-000011000000}" name="GI Line Key (Helper)"/>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bl_StockCard" displayName="tbl_StockCard" ref="A3:Q13" totalsRowShown="0">
  <autoFilter ref="A3:Q13" xr:uid="{00000000-0009-0000-0100-00000B000000}"/>
  <tableColumns count="17">
    <tableColumn id="1" xr3:uid="{00000000-0010-0000-0900-000001000000}" name="Stock Card Line"/>
    <tableColumn id="2" xr3:uid="{00000000-0010-0000-0900-000002000000}" name="Transaction Date"/>
    <tableColumn id="3" xr3:uid="{00000000-0010-0000-0900-000003000000}" name="Transaction Type"/>
    <tableColumn id="4" xr3:uid="{00000000-0010-0000-0900-000004000000}" name="Reference Number"/>
    <tableColumn id="5" xr3:uid="{00000000-0010-0000-0900-000005000000}" name="Reference Line"/>
    <tableColumn id="6" xr3:uid="{00000000-0010-0000-0900-000006000000}" name="Reference Key (Helper)"/>
    <tableColumn id="7" xr3:uid="{00000000-0010-0000-0900-000007000000}" name="Material Code"/>
    <tableColumn id="8" xr3:uid="{00000000-0010-0000-0900-000008000000}" name="Material Description"/>
    <tableColumn id="9" xr3:uid="{00000000-0010-0000-0900-000009000000}" name="Base UoM (Ref)"/>
    <tableColumn id="10" xr3:uid="{00000000-0010-0000-0900-00000A000000}" name="Location (Ref)"/>
    <tableColumn id="11" xr3:uid="{00000000-0010-0000-0900-00000B000000}" name="Quantity In"/>
    <tableColumn id="12" xr3:uid="{00000000-0010-0000-0900-00000C000000}" name="Quantity Out"/>
    <tableColumn id="13" xr3:uid="{00000000-0010-0000-0900-00000D000000}" name="Net Movement"/>
    <tableColumn id="14" xr3:uid="{00000000-0010-0000-0900-00000E000000}" name="Running Balance (Qty)"/>
    <tableColumn id="15" xr3:uid="{00000000-0010-0000-0900-00000F000000}" name="Unit Cost (Ref)"/>
    <tableColumn id="16" xr3:uid="{00000000-0010-0000-0900-000010000000}" name="Running Balance Value"/>
    <tableColumn id="17" xr3:uid="{00000000-0010-0000-0900-000011000000}" name="Remarks"/>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A000000}" name="tbl_CycleCount" displayName="tbl_CycleCount" ref="A3:R8" totalsRowShown="0">
  <autoFilter ref="A3:R8" xr:uid="{00000000-0009-0000-0100-000001000000}"/>
  <tableColumns count="18">
    <tableColumn id="1" xr3:uid="{00000000-0010-0000-0A00-000001000000}" name="Count Number"/>
    <tableColumn id="2" xr3:uid="{00000000-0010-0000-0A00-000002000000}" name="Count Line"/>
    <tableColumn id="3" xr3:uid="{00000000-0010-0000-0A00-000003000000}" name="Count Date"/>
    <tableColumn id="4" xr3:uid="{00000000-0010-0000-0A00-000004000000}" name="Material Code"/>
    <tableColumn id="5" xr3:uid="{00000000-0010-0000-0A00-000005000000}" name="Material Description"/>
    <tableColumn id="6" xr3:uid="{00000000-0010-0000-0A00-000006000000}" name="ABC Classification (Ref)"/>
    <tableColumn id="7" xr3:uid="{00000000-0010-0000-0A00-000007000000}" name="Last Stock Card Row (Helper)"/>
    <tableColumn id="8" xr3:uid="{00000000-0010-0000-0A00-000008000000}" name="Location (Ref)"/>
    <tableColumn id="9" xr3:uid="{00000000-0010-0000-0A00-000009000000}" name="System Quantity (Ref)"/>
    <tableColumn id="10" xr3:uid="{00000000-0010-0000-0A00-00000A000000}" name="Physical Count"/>
    <tableColumn id="11" xr3:uid="{00000000-0010-0000-0A00-00000B000000}" name="Variance (Qty)"/>
    <tableColumn id="12" xr3:uid="{00000000-0010-0000-0A00-00000C000000}" name="Variance %"/>
    <tableColumn id="13" xr3:uid="{00000000-0010-0000-0A00-00000D000000}" name="Unit Cost (Ref)"/>
    <tableColumn id="14" xr3:uid="{00000000-0010-0000-0A00-00000E000000}" name="Variance Value"/>
    <tableColumn id="15" xr3:uid="{00000000-0010-0000-0A00-00000F000000}" name="Count Result"/>
    <tableColumn id="16" xr3:uid="{00000000-0010-0000-0A00-000010000000}" name="Root Cause"/>
    <tableColumn id="17" xr3:uid="{00000000-0010-0000-0A00-000011000000}" name="Adjustment Status"/>
    <tableColumn id="18" xr3:uid="{00000000-0010-0000-0A00-000012000000}" name="Remark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
  <sheetViews>
    <sheetView showGridLines="0" tabSelected="1" zoomScaleNormal="100" workbookViewId="0">
      <pane ySplit="3" topLeftCell="A22" activePane="bottomLeft" state="frozen"/>
      <selection pane="bottomLeft" activeCell="G31" sqref="G31"/>
    </sheetView>
  </sheetViews>
  <sheetFormatPr defaultColWidth="8.7109375" defaultRowHeight="15" x14ac:dyDescent="0.25"/>
  <cols>
    <col min="1" max="1" width="14" customWidth="1"/>
    <col min="2" max="2" width="34" customWidth="1"/>
    <col min="3" max="3" width="24" customWidth="1"/>
    <col min="4" max="4" width="10" customWidth="1"/>
    <col min="5" max="5" width="15.42578125" customWidth="1"/>
    <col min="6" max="8" width="16" customWidth="1"/>
    <col min="9" max="9" width="17.5703125" customWidth="1"/>
    <col min="10" max="13" width="12" customWidth="1"/>
    <col min="14" max="14" width="30.140625" customWidth="1"/>
  </cols>
  <sheetData>
    <row r="1" spans="1:14" ht="24" customHeight="1" x14ac:dyDescent="0.25">
      <c r="A1" s="40" t="s">
        <v>0</v>
      </c>
      <c r="B1" s="40"/>
      <c r="C1" s="40"/>
      <c r="D1" s="40"/>
      <c r="E1" s="40"/>
      <c r="F1" s="40"/>
      <c r="G1" s="40"/>
      <c r="H1" s="40"/>
      <c r="I1" s="40"/>
      <c r="J1" s="40"/>
      <c r="K1" s="40"/>
      <c r="L1" s="40"/>
      <c r="M1" s="40"/>
      <c r="N1" s="40"/>
    </row>
    <row r="3" spans="1:14" ht="31.5" customHeight="1" x14ac:dyDescent="0.25">
      <c r="A3" s="1" t="s">
        <v>1</v>
      </c>
      <c r="B3" s="1" t="s">
        <v>2</v>
      </c>
      <c r="C3" s="1" t="s">
        <v>3</v>
      </c>
      <c r="D3" s="1" t="s">
        <v>4</v>
      </c>
      <c r="E3" s="1" t="s">
        <v>6</v>
      </c>
      <c r="F3" s="1" t="s">
        <v>479</v>
      </c>
      <c r="G3" s="1" t="s">
        <v>7</v>
      </c>
      <c r="H3" s="1" t="s">
        <v>8</v>
      </c>
      <c r="I3" s="1" t="s">
        <v>9</v>
      </c>
      <c r="J3" s="1" t="s">
        <v>10</v>
      </c>
      <c r="K3" s="1" t="s">
        <v>11</v>
      </c>
      <c r="L3" s="1" t="s">
        <v>12</v>
      </c>
      <c r="M3" s="1" t="s">
        <v>13</v>
      </c>
      <c r="N3" s="1" t="s">
        <v>204</v>
      </c>
    </row>
    <row r="4" spans="1:14" x14ac:dyDescent="0.25">
      <c r="A4" s="2" t="s">
        <v>14</v>
      </c>
      <c r="B4" s="2" t="s">
        <v>15</v>
      </c>
      <c r="C4" s="2" t="s">
        <v>16</v>
      </c>
      <c r="D4" s="2" t="s">
        <v>17</v>
      </c>
      <c r="E4" s="2" t="s">
        <v>18</v>
      </c>
      <c r="F4" s="2" t="s">
        <v>497</v>
      </c>
      <c r="G4" s="46">
        <v>750000</v>
      </c>
      <c r="H4" s="2" t="s">
        <v>19</v>
      </c>
      <c r="I4" s="2" t="s">
        <v>20</v>
      </c>
      <c r="J4" s="3">
        <v>20</v>
      </c>
      <c r="K4" s="3">
        <v>100</v>
      </c>
      <c r="L4" s="3">
        <v>14</v>
      </c>
      <c r="M4" s="2" t="s">
        <v>21</v>
      </c>
      <c r="N4" s="3"/>
    </row>
    <row r="5" spans="1:14" x14ac:dyDescent="0.25">
      <c r="A5" s="2" t="s">
        <v>22</v>
      </c>
      <c r="B5" s="2" t="s">
        <v>23</v>
      </c>
      <c r="C5" s="2" t="s">
        <v>491</v>
      </c>
      <c r="D5" s="2" t="s">
        <v>17</v>
      </c>
      <c r="E5" s="2" t="s">
        <v>24</v>
      </c>
      <c r="F5" s="2" t="s">
        <v>499</v>
      </c>
      <c r="G5" s="46">
        <v>4200000</v>
      </c>
      <c r="H5" s="2" t="s">
        <v>20</v>
      </c>
      <c r="I5" s="2" t="s">
        <v>25</v>
      </c>
      <c r="J5" s="3">
        <v>10</v>
      </c>
      <c r="K5" s="3">
        <v>50</v>
      </c>
      <c r="L5" s="3">
        <v>21</v>
      </c>
      <c r="M5" s="2" t="s">
        <v>21</v>
      </c>
      <c r="N5" s="3"/>
    </row>
    <row r="6" spans="1:14" x14ac:dyDescent="0.25">
      <c r="A6" s="2" t="s">
        <v>26</v>
      </c>
      <c r="B6" s="2" t="s">
        <v>27</v>
      </c>
      <c r="C6" s="2" t="s">
        <v>492</v>
      </c>
      <c r="D6" s="2" t="s">
        <v>17</v>
      </c>
      <c r="E6" s="2" t="s">
        <v>28</v>
      </c>
      <c r="F6" s="2" t="s">
        <v>502</v>
      </c>
      <c r="G6" s="46">
        <v>250000</v>
      </c>
      <c r="H6" s="2" t="s">
        <v>19</v>
      </c>
      <c r="I6" s="2" t="s">
        <v>20</v>
      </c>
      <c r="J6" s="3">
        <v>50</v>
      </c>
      <c r="K6" s="3">
        <v>300</v>
      </c>
      <c r="L6" s="3">
        <v>7</v>
      </c>
      <c r="M6" s="2" t="s">
        <v>21</v>
      </c>
      <c r="N6" s="3"/>
    </row>
    <row r="7" spans="1:14" x14ac:dyDescent="0.25">
      <c r="A7" s="2" t="s">
        <v>29</v>
      </c>
      <c r="B7" s="2" t="s">
        <v>30</v>
      </c>
      <c r="C7" s="2" t="s">
        <v>31</v>
      </c>
      <c r="D7" s="2" t="s">
        <v>17</v>
      </c>
      <c r="E7" s="2" t="s">
        <v>32</v>
      </c>
      <c r="F7" s="2" t="s">
        <v>504</v>
      </c>
      <c r="G7" s="46">
        <v>8000</v>
      </c>
      <c r="H7" s="2" t="s">
        <v>20</v>
      </c>
      <c r="I7" s="2" t="s">
        <v>20</v>
      </c>
      <c r="J7" s="3">
        <v>500</v>
      </c>
      <c r="K7" s="3">
        <v>5000</v>
      </c>
      <c r="L7" s="3">
        <v>10</v>
      </c>
      <c r="M7" s="2" t="s">
        <v>21</v>
      </c>
      <c r="N7" s="3"/>
    </row>
    <row r="8" spans="1:14" x14ac:dyDescent="0.25">
      <c r="A8" s="2" t="s">
        <v>33</v>
      </c>
      <c r="B8" s="2" t="s">
        <v>34</v>
      </c>
      <c r="C8" s="2" t="s">
        <v>35</v>
      </c>
      <c r="D8" s="2" t="s">
        <v>36</v>
      </c>
      <c r="E8" s="2" t="s">
        <v>37</v>
      </c>
      <c r="F8" s="2" t="s">
        <v>506</v>
      </c>
      <c r="G8" s="46">
        <v>950000</v>
      </c>
      <c r="H8" s="2" t="s">
        <v>20</v>
      </c>
      <c r="I8" s="2" t="s">
        <v>38</v>
      </c>
      <c r="J8" s="3">
        <v>40</v>
      </c>
      <c r="K8" s="3">
        <v>200</v>
      </c>
      <c r="L8" s="3">
        <v>5</v>
      </c>
      <c r="M8" s="2" t="s">
        <v>21</v>
      </c>
      <c r="N8" s="3"/>
    </row>
    <row r="9" spans="1:14" x14ac:dyDescent="0.25">
      <c r="A9" s="2" t="s">
        <v>39</v>
      </c>
      <c r="B9" s="2" t="s">
        <v>490</v>
      </c>
      <c r="C9" s="2" t="s">
        <v>493</v>
      </c>
      <c r="D9" s="2" t="s">
        <v>17</v>
      </c>
      <c r="E9" s="2" t="s">
        <v>18</v>
      </c>
      <c r="F9" s="2" t="s">
        <v>508</v>
      </c>
      <c r="G9" s="46">
        <v>6800000</v>
      </c>
      <c r="H9" s="2" t="s">
        <v>19</v>
      </c>
      <c r="I9" s="2" t="s">
        <v>25</v>
      </c>
      <c r="J9" s="3">
        <v>4</v>
      </c>
      <c r="K9" s="3">
        <v>20</v>
      </c>
      <c r="L9" s="3">
        <v>30</v>
      </c>
      <c r="M9" s="2" t="s">
        <v>21</v>
      </c>
      <c r="N9" s="3"/>
    </row>
    <row r="10" spans="1:14" x14ac:dyDescent="0.25">
      <c r="A10" s="2" t="s">
        <v>40</v>
      </c>
      <c r="B10" s="2" t="s">
        <v>41</v>
      </c>
      <c r="C10" s="2" t="s">
        <v>492</v>
      </c>
      <c r="D10" s="2" t="s">
        <v>17</v>
      </c>
      <c r="E10" s="2" t="s">
        <v>28</v>
      </c>
      <c r="F10" s="2" t="s">
        <v>510</v>
      </c>
      <c r="G10" s="46">
        <v>420000</v>
      </c>
      <c r="H10" s="2" t="s">
        <v>20</v>
      </c>
      <c r="I10" s="2" t="s">
        <v>20</v>
      </c>
      <c r="J10" s="3">
        <v>30</v>
      </c>
      <c r="K10" s="3">
        <v>150</v>
      </c>
      <c r="L10" s="3">
        <v>10</v>
      </c>
      <c r="M10" s="2" t="s">
        <v>21</v>
      </c>
      <c r="N10" s="3"/>
    </row>
    <row r="11" spans="1:14" x14ac:dyDescent="0.25">
      <c r="A11" s="2" t="s">
        <v>42</v>
      </c>
      <c r="B11" s="2" t="s">
        <v>43</v>
      </c>
      <c r="C11" s="2" t="s">
        <v>16</v>
      </c>
      <c r="D11" s="2" t="s">
        <v>17</v>
      </c>
      <c r="E11" s="2" t="s">
        <v>18</v>
      </c>
      <c r="F11" s="2" t="s">
        <v>512</v>
      </c>
      <c r="G11" s="46">
        <v>680000</v>
      </c>
      <c r="H11" s="2" t="s">
        <v>19</v>
      </c>
      <c r="I11" s="2" t="s">
        <v>20</v>
      </c>
      <c r="J11" s="3">
        <v>15</v>
      </c>
      <c r="K11" s="3">
        <v>80</v>
      </c>
      <c r="L11" s="3">
        <v>12</v>
      </c>
      <c r="M11" s="2" t="s">
        <v>21</v>
      </c>
      <c r="N11" s="3"/>
    </row>
    <row r="12" spans="1:14" x14ac:dyDescent="0.25">
      <c r="A12" s="2" t="s">
        <v>44</v>
      </c>
      <c r="B12" s="2" t="s">
        <v>45</v>
      </c>
      <c r="C12" s="2" t="s">
        <v>494</v>
      </c>
      <c r="D12" s="2" t="s">
        <v>17</v>
      </c>
      <c r="E12" s="2" t="s">
        <v>37</v>
      </c>
      <c r="F12" s="2" t="s">
        <v>514</v>
      </c>
      <c r="G12" s="46">
        <v>95000</v>
      </c>
      <c r="H12" s="2" t="s">
        <v>20</v>
      </c>
      <c r="I12" s="2" t="s">
        <v>20</v>
      </c>
      <c r="J12" s="3">
        <v>60</v>
      </c>
      <c r="K12" s="3">
        <v>400</v>
      </c>
      <c r="L12" s="3">
        <v>5</v>
      </c>
      <c r="M12" s="2" t="s">
        <v>21</v>
      </c>
      <c r="N12" s="3"/>
    </row>
    <row r="13" spans="1:14" x14ac:dyDescent="0.25">
      <c r="A13" s="2" t="s">
        <v>46</v>
      </c>
      <c r="B13" s="2" t="s">
        <v>47</v>
      </c>
      <c r="C13" s="2" t="s">
        <v>35</v>
      </c>
      <c r="D13" s="2" t="s">
        <v>48</v>
      </c>
      <c r="E13" s="2" t="s">
        <v>24</v>
      </c>
      <c r="F13" s="2" t="s">
        <v>516</v>
      </c>
      <c r="G13" s="46">
        <v>380000</v>
      </c>
      <c r="H13" s="2" t="s">
        <v>20</v>
      </c>
      <c r="I13" s="2" t="s">
        <v>20</v>
      </c>
      <c r="J13" s="3">
        <v>100</v>
      </c>
      <c r="K13" s="3">
        <v>600</v>
      </c>
      <c r="L13" s="3">
        <v>7</v>
      </c>
      <c r="M13" s="2" t="s">
        <v>21</v>
      </c>
      <c r="N13" s="3"/>
    </row>
    <row r="14" spans="1:14" x14ac:dyDescent="0.25">
      <c r="A14" s="2" t="s">
        <v>49</v>
      </c>
      <c r="B14" s="2" t="s">
        <v>50</v>
      </c>
      <c r="C14" s="2" t="s">
        <v>493</v>
      </c>
      <c r="D14" s="2" t="s">
        <v>17</v>
      </c>
      <c r="E14" s="2" t="s">
        <v>51</v>
      </c>
      <c r="F14" s="2" t="s">
        <v>519</v>
      </c>
      <c r="G14" s="46">
        <v>28500000</v>
      </c>
      <c r="H14" s="2" t="s">
        <v>19</v>
      </c>
      <c r="I14" s="2" t="s">
        <v>25</v>
      </c>
      <c r="J14" s="3">
        <v>2</v>
      </c>
      <c r="K14" s="3">
        <v>10</v>
      </c>
      <c r="L14" s="3">
        <v>45</v>
      </c>
      <c r="M14" s="2" t="s">
        <v>21</v>
      </c>
      <c r="N14" s="3"/>
    </row>
    <row r="15" spans="1:14" x14ac:dyDescent="0.25">
      <c r="A15" s="2" t="s">
        <v>52</v>
      </c>
      <c r="B15" s="2" t="s">
        <v>53</v>
      </c>
      <c r="C15" s="2" t="s">
        <v>493</v>
      </c>
      <c r="D15" s="2" t="s">
        <v>17</v>
      </c>
      <c r="E15" s="2" t="s">
        <v>51</v>
      </c>
      <c r="F15" s="2" t="s">
        <v>522</v>
      </c>
      <c r="G15" s="46">
        <v>620000</v>
      </c>
      <c r="H15" s="2" t="s">
        <v>19</v>
      </c>
      <c r="I15" s="2" t="s">
        <v>20</v>
      </c>
      <c r="J15" s="3">
        <v>25</v>
      </c>
      <c r="K15" s="3">
        <v>120</v>
      </c>
      <c r="L15" s="3">
        <v>20</v>
      </c>
      <c r="M15" s="2" t="s">
        <v>21</v>
      </c>
      <c r="N15" s="3"/>
    </row>
    <row r="16" spans="1:14" x14ac:dyDescent="0.25">
      <c r="A16" s="2" t="s">
        <v>54</v>
      </c>
      <c r="B16" s="2" t="s">
        <v>55</v>
      </c>
      <c r="C16" s="2" t="s">
        <v>494</v>
      </c>
      <c r="D16" s="2" t="s">
        <v>36</v>
      </c>
      <c r="E16" s="2" t="s">
        <v>37</v>
      </c>
      <c r="F16" s="2" t="s">
        <v>524</v>
      </c>
      <c r="G16" s="46">
        <v>780000</v>
      </c>
      <c r="H16" s="2" t="s">
        <v>20</v>
      </c>
      <c r="I16" s="2" t="s">
        <v>38</v>
      </c>
      <c r="J16" s="3">
        <v>30</v>
      </c>
      <c r="K16" s="3">
        <v>150</v>
      </c>
      <c r="L16" s="3">
        <v>5</v>
      </c>
      <c r="M16" s="2" t="s">
        <v>21</v>
      </c>
      <c r="N16" s="3"/>
    </row>
    <row r="17" spans="1:14" x14ac:dyDescent="0.25">
      <c r="A17" s="2" t="s">
        <v>56</v>
      </c>
      <c r="B17" s="2" t="s">
        <v>57</v>
      </c>
      <c r="C17" s="2" t="s">
        <v>31</v>
      </c>
      <c r="D17" s="2" t="s">
        <v>17</v>
      </c>
      <c r="E17" s="2" t="s">
        <v>32</v>
      </c>
      <c r="F17" s="2" t="s">
        <v>526</v>
      </c>
      <c r="G17" s="46">
        <v>2000</v>
      </c>
      <c r="H17" s="2" t="s">
        <v>20</v>
      </c>
      <c r="I17" s="2" t="s">
        <v>20</v>
      </c>
      <c r="J17" s="3">
        <v>1000</v>
      </c>
      <c r="K17" s="3">
        <v>8000</v>
      </c>
      <c r="L17" s="3">
        <v>10</v>
      </c>
      <c r="M17" s="2" t="s">
        <v>21</v>
      </c>
      <c r="N17" s="3"/>
    </row>
    <row r="18" spans="1:14" x14ac:dyDescent="0.25">
      <c r="A18" s="2" t="s">
        <v>58</v>
      </c>
      <c r="B18" s="2" t="s">
        <v>59</v>
      </c>
      <c r="C18" s="2" t="s">
        <v>495</v>
      </c>
      <c r="D18" s="2" t="s">
        <v>17</v>
      </c>
      <c r="E18" s="2" t="s">
        <v>28</v>
      </c>
      <c r="F18" s="2" t="s">
        <v>529</v>
      </c>
      <c r="G18" s="46">
        <v>15500000</v>
      </c>
      <c r="H18" s="2" t="s">
        <v>19</v>
      </c>
      <c r="I18" s="2" t="s">
        <v>25</v>
      </c>
      <c r="J18" s="3">
        <v>3</v>
      </c>
      <c r="K18" s="3">
        <v>15</v>
      </c>
      <c r="L18" s="3">
        <v>35</v>
      </c>
      <c r="M18" s="2" t="s">
        <v>21</v>
      </c>
      <c r="N18" s="3"/>
    </row>
    <row r="19" spans="1:14" x14ac:dyDescent="0.25">
      <c r="A19" s="2" t="s">
        <v>60</v>
      </c>
      <c r="B19" s="2" t="s">
        <v>61</v>
      </c>
      <c r="C19" s="2" t="s">
        <v>495</v>
      </c>
      <c r="D19" s="2" t="s">
        <v>17</v>
      </c>
      <c r="E19" s="2" t="s">
        <v>28</v>
      </c>
      <c r="F19" s="2" t="s">
        <v>531</v>
      </c>
      <c r="G19" s="46">
        <v>185000</v>
      </c>
      <c r="H19" s="2" t="s">
        <v>20</v>
      </c>
      <c r="I19" s="2" t="s">
        <v>20</v>
      </c>
      <c r="J19" s="3">
        <v>40</v>
      </c>
      <c r="K19" s="3">
        <v>200</v>
      </c>
      <c r="L19" s="3">
        <v>8</v>
      </c>
      <c r="M19" s="2" t="s">
        <v>21</v>
      </c>
      <c r="N19" s="3"/>
    </row>
    <row r="20" spans="1:14" x14ac:dyDescent="0.25">
      <c r="A20" s="2" t="s">
        <v>62</v>
      </c>
      <c r="B20" s="2" t="s">
        <v>63</v>
      </c>
      <c r="C20" s="2" t="s">
        <v>491</v>
      </c>
      <c r="D20" s="2" t="s">
        <v>17</v>
      </c>
      <c r="E20" s="2" t="s">
        <v>24</v>
      </c>
      <c r="F20" s="2" t="s">
        <v>534</v>
      </c>
      <c r="G20" s="46">
        <v>5600000</v>
      </c>
      <c r="H20" s="2" t="s">
        <v>20</v>
      </c>
      <c r="I20" s="2" t="s">
        <v>25</v>
      </c>
      <c r="J20" s="3">
        <v>5</v>
      </c>
      <c r="K20" s="3">
        <v>25</v>
      </c>
      <c r="L20" s="3">
        <v>25</v>
      </c>
      <c r="M20" s="2" t="s">
        <v>21</v>
      </c>
      <c r="N20" s="3"/>
    </row>
    <row r="21" spans="1:14" x14ac:dyDescent="0.25">
      <c r="A21" s="2" t="s">
        <v>64</v>
      </c>
      <c r="B21" s="2" t="s">
        <v>65</v>
      </c>
      <c r="C21" s="2" t="s">
        <v>492</v>
      </c>
      <c r="D21" s="2" t="s">
        <v>17</v>
      </c>
      <c r="E21" s="2" t="s">
        <v>28</v>
      </c>
      <c r="F21" s="2" t="s">
        <v>536</v>
      </c>
      <c r="G21" s="46">
        <v>320000</v>
      </c>
      <c r="H21" s="2" t="s">
        <v>20</v>
      </c>
      <c r="I21" s="2" t="s">
        <v>20</v>
      </c>
      <c r="J21" s="3">
        <v>35</v>
      </c>
      <c r="K21" s="3">
        <v>180</v>
      </c>
      <c r="L21" s="3">
        <v>7</v>
      </c>
      <c r="M21" s="2" t="s">
        <v>21</v>
      </c>
      <c r="N21" s="3"/>
    </row>
    <row r="22" spans="1:14" x14ac:dyDescent="0.25">
      <c r="A22" s="2" t="s">
        <v>66</v>
      </c>
      <c r="B22" s="2" t="s">
        <v>67</v>
      </c>
      <c r="C22" s="2" t="s">
        <v>16</v>
      </c>
      <c r="D22" s="2" t="s">
        <v>17</v>
      </c>
      <c r="E22" s="2" t="s">
        <v>18</v>
      </c>
      <c r="F22" s="2" t="s">
        <v>538</v>
      </c>
      <c r="G22" s="46">
        <v>75000</v>
      </c>
      <c r="H22" s="2" t="s">
        <v>20</v>
      </c>
      <c r="I22" s="2" t="s">
        <v>20</v>
      </c>
      <c r="J22" s="3">
        <v>80</v>
      </c>
      <c r="K22" s="3">
        <v>400</v>
      </c>
      <c r="L22" s="3">
        <v>9</v>
      </c>
      <c r="M22" s="2" t="s">
        <v>21</v>
      </c>
      <c r="N22" s="3"/>
    </row>
    <row r="23" spans="1:14" x14ac:dyDescent="0.25">
      <c r="A23" s="2" t="s">
        <v>68</v>
      </c>
      <c r="B23" s="2" t="s">
        <v>69</v>
      </c>
      <c r="C23" s="2" t="s">
        <v>493</v>
      </c>
      <c r="D23" s="2" t="s">
        <v>17</v>
      </c>
      <c r="E23" s="2" t="s">
        <v>51</v>
      </c>
      <c r="F23" s="2" t="s">
        <v>540</v>
      </c>
      <c r="G23" s="46">
        <v>8900000</v>
      </c>
      <c r="H23" s="2" t="s">
        <v>19</v>
      </c>
      <c r="I23" s="2" t="s">
        <v>25</v>
      </c>
      <c r="J23" s="3">
        <v>2</v>
      </c>
      <c r="K23" s="3">
        <v>8</v>
      </c>
      <c r="L23" s="3">
        <v>40</v>
      </c>
      <c r="M23" s="2" t="s">
        <v>70</v>
      </c>
      <c r="N23" s="3"/>
    </row>
    <row r="26" spans="1:14" x14ac:dyDescent="0.25">
      <c r="A26" s="4" t="s">
        <v>71</v>
      </c>
    </row>
    <row r="27" spans="1:14" x14ac:dyDescent="0.25">
      <c r="A27" s="5" t="s">
        <v>72</v>
      </c>
    </row>
    <row r="28" spans="1:14" x14ac:dyDescent="0.25">
      <c r="A28" s="5" t="s">
        <v>73</v>
      </c>
    </row>
    <row r="29" spans="1:14" x14ac:dyDescent="0.25">
      <c r="A29" s="5" t="s">
        <v>74</v>
      </c>
    </row>
    <row r="30" spans="1:14" x14ac:dyDescent="0.25">
      <c r="A30" s="5" t="s">
        <v>75</v>
      </c>
    </row>
    <row r="31" spans="1:14" x14ac:dyDescent="0.25">
      <c r="A31" s="5" t="s">
        <v>76</v>
      </c>
    </row>
    <row r="33" spans="1:8" ht="45" x14ac:dyDescent="0.25">
      <c r="A33" s="36" t="s">
        <v>157</v>
      </c>
      <c r="B33" s="37" t="s">
        <v>472</v>
      </c>
      <c r="C33" s="37" t="s">
        <v>473</v>
      </c>
      <c r="E33" s="42" t="s">
        <v>1</v>
      </c>
      <c r="F33" s="42" t="s">
        <v>2</v>
      </c>
      <c r="G33" s="42" t="s">
        <v>4</v>
      </c>
      <c r="H33" s="44" t="s">
        <v>541</v>
      </c>
    </row>
    <row r="34" spans="1:8" ht="45" x14ac:dyDescent="0.25">
      <c r="A34" s="38">
        <v>1</v>
      </c>
      <c r="B34" s="39" t="s">
        <v>1</v>
      </c>
      <c r="C34" s="39" t="s">
        <v>474</v>
      </c>
      <c r="E34" s="43" t="s">
        <v>496</v>
      </c>
      <c r="F34" s="43" t="s">
        <v>15</v>
      </c>
      <c r="G34" s="43" t="s">
        <v>17</v>
      </c>
      <c r="H34" s="45">
        <v>750000</v>
      </c>
    </row>
    <row r="35" spans="1:8" ht="30" x14ac:dyDescent="0.25">
      <c r="A35" s="38">
        <v>2</v>
      </c>
      <c r="B35" s="39" t="s">
        <v>2</v>
      </c>
      <c r="C35" s="39" t="s">
        <v>475</v>
      </c>
      <c r="E35" s="43" t="s">
        <v>498</v>
      </c>
      <c r="F35" s="43" t="s">
        <v>23</v>
      </c>
      <c r="G35" s="43" t="s">
        <v>17</v>
      </c>
      <c r="H35" s="45">
        <v>4200000</v>
      </c>
    </row>
    <row r="36" spans="1:8" x14ac:dyDescent="0.25">
      <c r="A36" s="38">
        <v>3</v>
      </c>
      <c r="B36" s="39" t="s">
        <v>3</v>
      </c>
      <c r="C36" s="39" t="s">
        <v>476</v>
      </c>
      <c r="E36" s="43" t="s">
        <v>500</v>
      </c>
      <c r="F36" s="43" t="s">
        <v>501</v>
      </c>
      <c r="G36" s="43" t="s">
        <v>17</v>
      </c>
      <c r="H36" s="45">
        <v>250000</v>
      </c>
    </row>
    <row r="37" spans="1:8" ht="30" x14ac:dyDescent="0.25">
      <c r="A37" s="38">
        <v>4</v>
      </c>
      <c r="B37" s="39" t="s">
        <v>4</v>
      </c>
      <c r="C37" s="39" t="s">
        <v>477</v>
      </c>
      <c r="E37" s="43" t="s">
        <v>503</v>
      </c>
      <c r="F37" s="43" t="s">
        <v>30</v>
      </c>
      <c r="G37" s="43" t="s">
        <v>17</v>
      </c>
      <c r="H37" s="45">
        <v>8000</v>
      </c>
    </row>
    <row r="38" spans="1:8" ht="30" x14ac:dyDescent="0.25">
      <c r="A38" s="38">
        <v>5</v>
      </c>
      <c r="B38" s="39" t="s">
        <v>6</v>
      </c>
      <c r="C38" s="39" t="s">
        <v>478</v>
      </c>
      <c r="E38" s="43" t="s">
        <v>505</v>
      </c>
      <c r="F38" s="43" t="s">
        <v>34</v>
      </c>
      <c r="G38" s="43" t="s">
        <v>542</v>
      </c>
      <c r="H38" s="45">
        <v>950000</v>
      </c>
    </row>
    <row r="39" spans="1:8" ht="30" x14ac:dyDescent="0.25">
      <c r="A39" s="38">
        <v>6</v>
      </c>
      <c r="B39" s="39" t="s">
        <v>479</v>
      </c>
      <c r="C39" s="39" t="s">
        <v>480</v>
      </c>
      <c r="E39" s="43" t="s">
        <v>507</v>
      </c>
      <c r="F39" s="43" t="s">
        <v>490</v>
      </c>
      <c r="G39" s="43" t="s">
        <v>17</v>
      </c>
      <c r="H39" s="45">
        <v>6800000</v>
      </c>
    </row>
    <row r="40" spans="1:8" ht="45" x14ac:dyDescent="0.25">
      <c r="A40" s="38">
        <v>7</v>
      </c>
      <c r="B40" s="39" t="s">
        <v>481</v>
      </c>
      <c r="C40" s="39" t="s">
        <v>482</v>
      </c>
      <c r="E40" s="43" t="s">
        <v>509</v>
      </c>
      <c r="F40" s="43" t="s">
        <v>41</v>
      </c>
      <c r="G40" s="43" t="s">
        <v>17</v>
      </c>
      <c r="H40" s="45">
        <v>420000</v>
      </c>
    </row>
    <row r="41" spans="1:8" ht="30" x14ac:dyDescent="0.25">
      <c r="A41" s="38">
        <v>8</v>
      </c>
      <c r="B41" s="39" t="s">
        <v>8</v>
      </c>
      <c r="C41" s="39" t="s">
        <v>483</v>
      </c>
      <c r="E41" s="43" t="s">
        <v>511</v>
      </c>
      <c r="F41" s="43" t="s">
        <v>43</v>
      </c>
      <c r="G41" s="43" t="s">
        <v>17</v>
      </c>
      <c r="H41" s="45">
        <v>680000</v>
      </c>
    </row>
    <row r="42" spans="1:8" ht="30" x14ac:dyDescent="0.25">
      <c r="A42" s="38">
        <v>9</v>
      </c>
      <c r="B42" s="39" t="s">
        <v>9</v>
      </c>
      <c r="C42" s="39" t="s">
        <v>484</v>
      </c>
      <c r="E42" s="43" t="s">
        <v>513</v>
      </c>
      <c r="F42" s="43" t="s">
        <v>45</v>
      </c>
      <c r="G42" s="43" t="s">
        <v>17</v>
      </c>
      <c r="H42" s="45">
        <v>95000</v>
      </c>
    </row>
    <row r="43" spans="1:8" ht="45" x14ac:dyDescent="0.25">
      <c r="A43" s="38">
        <v>10</v>
      </c>
      <c r="B43" s="39" t="s">
        <v>10</v>
      </c>
      <c r="C43" s="39" t="s">
        <v>485</v>
      </c>
      <c r="E43" s="43" t="s">
        <v>515</v>
      </c>
      <c r="F43" s="43" t="s">
        <v>47</v>
      </c>
      <c r="G43" s="43" t="s">
        <v>543</v>
      </c>
      <c r="H43" s="45">
        <v>380000</v>
      </c>
    </row>
    <row r="44" spans="1:8" ht="30" x14ac:dyDescent="0.25">
      <c r="A44" s="38">
        <v>11</v>
      </c>
      <c r="B44" s="39" t="s">
        <v>11</v>
      </c>
      <c r="C44" s="39" t="s">
        <v>486</v>
      </c>
      <c r="E44" s="43" t="s">
        <v>517</v>
      </c>
      <c r="F44" s="43" t="s">
        <v>518</v>
      </c>
      <c r="G44" s="43" t="s">
        <v>17</v>
      </c>
      <c r="H44" s="45">
        <v>28500000</v>
      </c>
    </row>
    <row r="45" spans="1:8" x14ac:dyDescent="0.25">
      <c r="A45" s="38">
        <v>12</v>
      </c>
      <c r="B45" s="39" t="s">
        <v>12</v>
      </c>
      <c r="C45" s="39" t="s">
        <v>487</v>
      </c>
      <c r="E45" s="43" t="s">
        <v>520</v>
      </c>
      <c r="F45" s="43" t="s">
        <v>521</v>
      </c>
      <c r="G45" s="43" t="s">
        <v>17</v>
      </c>
      <c r="H45" s="45">
        <v>620000</v>
      </c>
    </row>
    <row r="46" spans="1:8" ht="30" x14ac:dyDescent="0.25">
      <c r="A46" s="38">
        <v>13</v>
      </c>
      <c r="B46" s="39" t="s">
        <v>13</v>
      </c>
      <c r="C46" s="39" t="s">
        <v>488</v>
      </c>
      <c r="E46" s="43" t="s">
        <v>523</v>
      </c>
      <c r="F46" s="43" t="s">
        <v>55</v>
      </c>
      <c r="G46" s="43" t="s">
        <v>542</v>
      </c>
      <c r="H46" s="45">
        <v>780000</v>
      </c>
    </row>
    <row r="47" spans="1:8" ht="30" x14ac:dyDescent="0.25">
      <c r="A47" s="38">
        <v>14</v>
      </c>
      <c r="B47" s="39" t="s">
        <v>204</v>
      </c>
      <c r="C47" s="39" t="s">
        <v>489</v>
      </c>
      <c r="E47" s="43" t="s">
        <v>525</v>
      </c>
      <c r="F47" s="43" t="s">
        <v>57</v>
      </c>
      <c r="G47" s="43" t="s">
        <v>17</v>
      </c>
      <c r="H47" s="45">
        <v>2000</v>
      </c>
    </row>
    <row r="48" spans="1:8" ht="30" x14ac:dyDescent="0.25">
      <c r="E48" s="43" t="s">
        <v>527</v>
      </c>
      <c r="F48" s="43" t="s">
        <v>528</v>
      </c>
      <c r="G48" s="43" t="s">
        <v>17</v>
      </c>
      <c r="H48" s="45">
        <v>15500000</v>
      </c>
    </row>
    <row r="49" spans="5:8" ht="30" x14ac:dyDescent="0.25">
      <c r="E49" s="43" t="s">
        <v>530</v>
      </c>
      <c r="F49" s="43" t="s">
        <v>61</v>
      </c>
      <c r="G49" s="43" t="s">
        <v>17</v>
      </c>
      <c r="H49" s="45">
        <v>185000</v>
      </c>
    </row>
    <row r="50" spans="5:8" ht="30" x14ac:dyDescent="0.25">
      <c r="E50" s="43" t="s">
        <v>532</v>
      </c>
      <c r="F50" s="43" t="s">
        <v>533</v>
      </c>
      <c r="G50" s="43" t="s">
        <v>17</v>
      </c>
      <c r="H50" s="45">
        <v>5600000</v>
      </c>
    </row>
    <row r="51" spans="5:8" x14ac:dyDescent="0.25">
      <c r="E51" s="43" t="s">
        <v>535</v>
      </c>
      <c r="F51" s="43" t="s">
        <v>65</v>
      </c>
      <c r="G51" s="43" t="s">
        <v>17</v>
      </c>
      <c r="H51" s="45">
        <v>320000</v>
      </c>
    </row>
    <row r="52" spans="5:8" ht="30" x14ac:dyDescent="0.25">
      <c r="E52" s="43" t="s">
        <v>537</v>
      </c>
      <c r="F52" s="43" t="s">
        <v>67</v>
      </c>
      <c r="G52" s="43" t="s">
        <v>17</v>
      </c>
      <c r="H52" s="45">
        <v>75000</v>
      </c>
    </row>
    <row r="53" spans="5:8" ht="45" x14ac:dyDescent="0.25">
      <c r="E53" s="43" t="s">
        <v>539</v>
      </c>
      <c r="F53" s="43" t="s">
        <v>69</v>
      </c>
      <c r="G53" s="43" t="s">
        <v>17</v>
      </c>
      <c r="H53" s="45">
        <v>8900000</v>
      </c>
    </row>
  </sheetData>
  <mergeCells count="1">
    <mergeCell ref="A1:N1"/>
  </mergeCells>
  <phoneticPr fontId="13" type="noConversion"/>
  <conditionalFormatting sqref="A4:N23">
    <cfRule type="expression" dxfId="49" priority="26">
      <formula>$M4="Inactive"</formula>
    </cfRule>
    <cfRule type="expression" dxfId="48" priority="27">
      <formula>$H4="Critical Spare"</formula>
    </cfRule>
  </conditionalFormatting>
  <conditionalFormatting sqref="A24:N32 D33:D47 A54:N500 A48:D53 I33:N53">
    <cfRule type="expression" dxfId="47" priority="18">
      <formula>$N24="Inactive"</formula>
    </cfRule>
    <cfRule type="expression" dxfId="46" priority="19">
      <formula>$H24="Critical Spare"</formula>
    </cfRule>
  </conditionalFormatting>
  <dataValidations count="6">
    <dataValidation type="list" showInputMessage="1" showErrorMessage="1" errorTitle="Invalid entry" error="Please select a value from the list." promptTitle="Material Group" prompt="Select the material category." sqref="C48:C500 C24:C32" xr:uid="{00000000-0002-0000-0000-000000000000}">
      <formula1>"Raw Steel,Hydraulic Components,Engine Parts,Fasteners,Consumables,Finished Spares"</formula1>
      <formula2>0</formula2>
    </dataValidation>
    <dataValidation type="list" showInputMessage="1" showErrorMessage="1" errorTitle="Invalid entry" error="Please select a value from the list." promptTitle="Status" prompt="Select material status." sqref="N24:N500 M4:M23" xr:uid="{00000000-0002-0000-0000-000006000000}">
      <formula1>"Active,Inactive"</formula1>
      <formula2>0</formula2>
    </dataValidation>
    <dataValidation type="list" showInputMessage="1" showErrorMessage="1" errorTitle="Invalid entry" error="Please select a value from the list." promptTitle="Criticality Flag" prompt="Flag machine-down-risk items." sqref="H4:H23 H24:H32 H54:H500" xr:uid="{00000000-0002-0000-0000-000004000000}">
      <formula1>"Critical Spare,Standard"</formula1>
      <formula2>0</formula2>
    </dataValidation>
    <dataValidation type="list" showInputMessage="1" showErrorMessage="1" errorTitle="Invalid entry" error="Please select a value from the list." promptTitle="Storage/Handling Class" prompt="Select storage handling requirement." sqref="I24:I500 I4:I23" xr:uid="{00000000-0002-0000-0000-000005000000}">
      <formula1>"Standard,Heavy/Bulk,Hazardous,Fragile"</formula1>
      <formula2>0</formula2>
    </dataValidation>
    <dataValidation type="list" showInputMessage="1" showErrorMessage="1" errorTitle="Invalid entry" error="Please select a value from the list." promptTitle="Base UoM" prompt="Select the base unit of measure." sqref="D4:D23 D24:D500 E24:E32 E54:E500" xr:uid="{00000000-0002-0000-0000-000001000000}">
      <formula1>"PCS,KG,MTR,LTR,BOX"</formula1>
      <formula2>0</formula2>
    </dataValidation>
    <dataValidation type="list" allowBlank="1" showInputMessage="1" showErrorMessage="1" sqref="C4:C23" xr:uid="{101417DC-3BD9-4612-AFA3-709F519D356D}">
      <formula1>"Hydraulic Components, Engine Components, Electrical Components, Undercarriage Components, Fasteners, Filters, Lubricants &amp; Fluids, Raw Materials, Consumables"</formula1>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showGridLines="0" zoomScaleNormal="100" workbookViewId="0">
      <pane ySplit="3" topLeftCell="A4" activePane="bottomLeft" state="frozen"/>
      <selection pane="bottomLeft" activeCell="J7" sqref="J7"/>
    </sheetView>
  </sheetViews>
  <sheetFormatPr defaultColWidth="8.7109375" defaultRowHeight="15" x14ac:dyDescent="0.25"/>
  <cols>
    <col min="1" max="1" width="14" customWidth="1"/>
    <col min="2" max="2" width="32" customWidth="1"/>
    <col min="3" max="3" width="20" customWidth="1"/>
    <col min="4" max="5" width="14" customWidth="1"/>
    <col min="6" max="6" width="18" customWidth="1"/>
    <col min="7" max="7" width="30" customWidth="1"/>
    <col min="8" max="8" width="16" customWidth="1"/>
    <col min="9" max="9" width="14" customWidth="1"/>
    <col min="10" max="10" width="10" customWidth="1"/>
  </cols>
  <sheetData>
    <row r="1" spans="1:10" ht="24" customHeight="1" x14ac:dyDescent="0.25">
      <c r="A1" s="40" t="s">
        <v>77</v>
      </c>
      <c r="B1" s="40"/>
      <c r="C1" s="40"/>
      <c r="D1" s="40"/>
      <c r="E1" s="40"/>
      <c r="F1" s="40"/>
      <c r="G1" s="40"/>
      <c r="H1" s="40"/>
      <c r="I1" s="40"/>
      <c r="J1" s="40"/>
    </row>
    <row r="3" spans="1:10" ht="31.5" customHeight="1" x14ac:dyDescent="0.25">
      <c r="A3" s="1" t="s">
        <v>78</v>
      </c>
      <c r="B3" s="1" t="s">
        <v>79</v>
      </c>
      <c r="C3" s="1" t="s">
        <v>80</v>
      </c>
      <c r="D3" s="1" t="s">
        <v>81</v>
      </c>
      <c r="E3" s="1" t="s">
        <v>82</v>
      </c>
      <c r="F3" s="1" t="s">
        <v>83</v>
      </c>
      <c r="G3" s="1" t="s">
        <v>84</v>
      </c>
      <c r="H3" s="1" t="s">
        <v>85</v>
      </c>
      <c r="I3" s="1" t="s">
        <v>86</v>
      </c>
      <c r="J3" s="1" t="s">
        <v>13</v>
      </c>
    </row>
    <row r="4" spans="1:10" x14ac:dyDescent="0.25">
      <c r="A4" s="2" t="s">
        <v>24</v>
      </c>
      <c r="B4" s="2" t="s">
        <v>87</v>
      </c>
      <c r="C4" s="2" t="s">
        <v>88</v>
      </c>
      <c r="D4" s="2" t="s">
        <v>89</v>
      </c>
      <c r="E4" s="2" t="s">
        <v>90</v>
      </c>
      <c r="F4" s="2" t="s">
        <v>91</v>
      </c>
      <c r="G4" s="2" t="s">
        <v>92</v>
      </c>
      <c r="H4" s="2" t="s">
        <v>93</v>
      </c>
      <c r="I4" s="2" t="s">
        <v>94</v>
      </c>
      <c r="J4" s="2" t="s">
        <v>21</v>
      </c>
    </row>
    <row r="5" spans="1:10" x14ac:dyDescent="0.25">
      <c r="A5" s="2" t="s">
        <v>32</v>
      </c>
      <c r="B5" s="2" t="s">
        <v>95</v>
      </c>
      <c r="C5" s="2" t="s">
        <v>96</v>
      </c>
      <c r="D5" s="2" t="s">
        <v>89</v>
      </c>
      <c r="E5" s="2" t="s">
        <v>90</v>
      </c>
      <c r="F5" s="2" t="s">
        <v>97</v>
      </c>
      <c r="G5" s="2" t="s">
        <v>98</v>
      </c>
      <c r="H5" s="2" t="s">
        <v>99</v>
      </c>
      <c r="I5" s="2" t="s">
        <v>100</v>
      </c>
      <c r="J5" s="2" t="s">
        <v>21</v>
      </c>
    </row>
    <row r="6" spans="1:10" x14ac:dyDescent="0.25">
      <c r="A6" s="2" t="s">
        <v>18</v>
      </c>
      <c r="B6" s="2" t="s">
        <v>101</v>
      </c>
      <c r="C6" s="2" t="s">
        <v>88</v>
      </c>
      <c r="D6" s="2" t="s">
        <v>89</v>
      </c>
      <c r="E6" s="2" t="s">
        <v>90</v>
      </c>
      <c r="F6" s="2" t="s">
        <v>102</v>
      </c>
      <c r="G6" s="2" t="s">
        <v>103</v>
      </c>
      <c r="H6" s="2" t="s">
        <v>104</v>
      </c>
      <c r="I6" s="2" t="s">
        <v>94</v>
      </c>
      <c r="J6" s="2" t="s">
        <v>21</v>
      </c>
    </row>
    <row r="7" spans="1:10" x14ac:dyDescent="0.25">
      <c r="A7" s="2" t="s">
        <v>37</v>
      </c>
      <c r="B7" s="2" t="s">
        <v>105</v>
      </c>
      <c r="C7" s="2" t="s">
        <v>96</v>
      </c>
      <c r="D7" s="2" t="s">
        <v>89</v>
      </c>
      <c r="E7" s="2" t="s">
        <v>90</v>
      </c>
      <c r="F7" s="2" t="s">
        <v>106</v>
      </c>
      <c r="G7" s="2" t="s">
        <v>107</v>
      </c>
      <c r="H7" s="2" t="s">
        <v>108</v>
      </c>
      <c r="I7" s="2" t="s">
        <v>100</v>
      </c>
      <c r="J7" s="2" t="s">
        <v>21</v>
      </c>
    </row>
    <row r="8" spans="1:10" x14ac:dyDescent="0.25">
      <c r="A8" s="2" t="s">
        <v>28</v>
      </c>
      <c r="B8" s="2" t="s">
        <v>109</v>
      </c>
      <c r="C8" s="2" t="s">
        <v>88</v>
      </c>
      <c r="D8" s="2" t="s">
        <v>110</v>
      </c>
      <c r="E8" s="2" t="s">
        <v>111</v>
      </c>
      <c r="F8" s="2" t="s">
        <v>112</v>
      </c>
      <c r="G8" s="2" t="s">
        <v>113</v>
      </c>
      <c r="H8" s="2" t="s">
        <v>114</v>
      </c>
      <c r="I8" s="2" t="s">
        <v>94</v>
      </c>
      <c r="J8" s="2" t="s">
        <v>21</v>
      </c>
    </row>
    <row r="9" spans="1:10" x14ac:dyDescent="0.25">
      <c r="A9" s="2" t="s">
        <v>51</v>
      </c>
      <c r="B9" s="2" t="s">
        <v>115</v>
      </c>
      <c r="C9" s="2" t="s">
        <v>116</v>
      </c>
      <c r="D9" s="2" t="s">
        <v>110</v>
      </c>
      <c r="E9" s="2" t="s">
        <v>117</v>
      </c>
      <c r="F9" s="2" t="s">
        <v>118</v>
      </c>
      <c r="G9" s="2" t="s">
        <v>119</v>
      </c>
      <c r="H9" s="2" t="s">
        <v>120</v>
      </c>
      <c r="I9" s="2" t="s">
        <v>94</v>
      </c>
      <c r="J9" s="2" t="s">
        <v>21</v>
      </c>
    </row>
    <row r="10" spans="1:10" x14ac:dyDescent="0.25">
      <c r="A10" s="2" t="s">
        <v>121</v>
      </c>
      <c r="B10" s="2" t="s">
        <v>122</v>
      </c>
      <c r="C10" s="2" t="s">
        <v>96</v>
      </c>
      <c r="D10" s="2" t="s">
        <v>89</v>
      </c>
      <c r="E10" s="2" t="s">
        <v>90</v>
      </c>
      <c r="F10" s="2" t="s">
        <v>123</v>
      </c>
      <c r="G10" s="2" t="s">
        <v>124</v>
      </c>
      <c r="H10" s="2" t="s">
        <v>125</v>
      </c>
      <c r="I10" s="2" t="s">
        <v>126</v>
      </c>
      <c r="J10" s="2" t="s">
        <v>21</v>
      </c>
    </row>
    <row r="11" spans="1:10" x14ac:dyDescent="0.25">
      <c r="A11" s="2" t="s">
        <v>127</v>
      </c>
      <c r="B11" s="2" t="s">
        <v>128</v>
      </c>
      <c r="C11" s="2" t="s">
        <v>88</v>
      </c>
      <c r="D11" s="2" t="s">
        <v>110</v>
      </c>
      <c r="E11" s="2" t="s">
        <v>111</v>
      </c>
      <c r="F11" s="2" t="s">
        <v>129</v>
      </c>
      <c r="G11" s="2" t="s">
        <v>130</v>
      </c>
      <c r="H11" s="2" t="s">
        <v>131</v>
      </c>
      <c r="I11" s="2" t="s">
        <v>100</v>
      </c>
      <c r="J11" s="2" t="s">
        <v>21</v>
      </c>
    </row>
    <row r="12" spans="1:10" x14ac:dyDescent="0.25">
      <c r="A12" s="2" t="s">
        <v>132</v>
      </c>
      <c r="B12" s="2" t="s">
        <v>133</v>
      </c>
      <c r="C12" s="2" t="s">
        <v>96</v>
      </c>
      <c r="D12" s="2" t="s">
        <v>89</v>
      </c>
      <c r="E12" s="2" t="s">
        <v>90</v>
      </c>
      <c r="F12" s="2" t="s">
        <v>134</v>
      </c>
      <c r="G12" s="2" t="s">
        <v>135</v>
      </c>
      <c r="H12" s="2" t="s">
        <v>136</v>
      </c>
      <c r="I12" s="2" t="s">
        <v>100</v>
      </c>
      <c r="J12" s="2" t="s">
        <v>21</v>
      </c>
    </row>
    <row r="13" spans="1:10" x14ac:dyDescent="0.25">
      <c r="A13" s="2" t="s">
        <v>137</v>
      </c>
      <c r="B13" s="2" t="s">
        <v>138</v>
      </c>
      <c r="C13" s="2" t="s">
        <v>96</v>
      </c>
      <c r="D13" s="2" t="s">
        <v>89</v>
      </c>
      <c r="E13" s="2" t="s">
        <v>90</v>
      </c>
      <c r="F13" s="2" t="s">
        <v>139</v>
      </c>
      <c r="G13" s="2" t="s">
        <v>140</v>
      </c>
      <c r="H13" s="2" t="s">
        <v>141</v>
      </c>
      <c r="I13" s="2" t="s">
        <v>126</v>
      </c>
      <c r="J13" s="2" t="s">
        <v>70</v>
      </c>
    </row>
    <row r="16" spans="1:10" x14ac:dyDescent="0.25">
      <c r="A16" s="4" t="s">
        <v>71</v>
      </c>
    </row>
    <row r="17" spans="1:1" x14ac:dyDescent="0.25">
      <c r="A17" s="5" t="s">
        <v>142</v>
      </c>
    </row>
    <row r="18" spans="1:1" x14ac:dyDescent="0.25">
      <c r="A18" s="5" t="s">
        <v>143</v>
      </c>
    </row>
    <row r="19" spans="1:1" x14ac:dyDescent="0.25">
      <c r="A19" s="5" t="s">
        <v>144</v>
      </c>
    </row>
    <row r="20" spans="1:1" x14ac:dyDescent="0.25">
      <c r="A20" s="5" t="s">
        <v>145</v>
      </c>
    </row>
    <row r="21" spans="1:1" x14ac:dyDescent="0.25">
      <c r="A21" s="5" t="s">
        <v>146</v>
      </c>
    </row>
  </sheetData>
  <mergeCells count="1">
    <mergeCell ref="A1:J1"/>
  </mergeCells>
  <conditionalFormatting sqref="A4:J500">
    <cfRule type="expression" dxfId="45" priority="2">
      <formula>$J4="Inactive"</formula>
    </cfRule>
    <cfRule type="expression" dxfId="44" priority="3">
      <formula>$I4="Preferred"</formula>
    </cfRule>
  </conditionalFormatting>
  <conditionalFormatting sqref="I4:I500">
    <cfRule type="expression" dxfId="43" priority="4">
      <formula>$I4="Under Review"</formula>
    </cfRule>
  </conditionalFormatting>
  <dataValidations count="4">
    <dataValidation type="list" showInputMessage="1" showErrorMessage="1" errorTitle="Invalid entry" error="Please select a value from the list." promptTitle="Supplier Type" prompt="Select supplier role." sqref="C4:C500" xr:uid="{00000000-0002-0000-0100-000000000000}">
      <formula1>"Manufacturer,Authorized Distributor,Local Trader"</formula1>
      <formula2>0</formula2>
    </dataValidation>
    <dataValidation type="list" showInputMessage="1" showErrorMessage="1" errorTitle="Invalid entry" error="Please select a value from the list." promptTitle="Supplier Category" prompt="Domestic or overseas." sqref="D4:D500" xr:uid="{00000000-0002-0000-0100-000001000000}">
      <formula1>"Local,Import"</formula1>
      <formula2>0</formula2>
    </dataValidation>
    <dataValidation type="list" showInputMessage="1" showErrorMessage="1" errorTitle="Invalid entry" error="Please select a value from the list." promptTitle="Supplier Rating" prompt="Reliability rating." sqref="I4:I500" xr:uid="{00000000-0002-0000-0100-000002000000}">
      <formula1>"Preferred,Approved,Under Review"</formula1>
      <formula2>0</formula2>
    </dataValidation>
    <dataValidation type="list" showInputMessage="1" showErrorMessage="1" errorTitle="Invalid entry" error="Please select a value from the list." promptTitle="Status" prompt="Supplier status." sqref="J4:J500" xr:uid="{00000000-0002-0000-0100-000003000000}">
      <formula1>"Active,Inactive"</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showGridLines="0" zoomScaleNormal="100" workbookViewId="0">
      <pane ySplit="3" topLeftCell="A4" activePane="bottomLeft" state="frozen"/>
      <selection pane="bottomLeft" activeCell="G7" sqref="G7"/>
    </sheetView>
  </sheetViews>
  <sheetFormatPr defaultColWidth="8.7109375" defaultRowHeight="15" x14ac:dyDescent="0.25"/>
  <cols>
    <col min="1" max="1" width="16" customWidth="1"/>
    <col min="2" max="2" width="40" customWidth="1"/>
    <col min="3" max="3" width="20" customWidth="1"/>
    <col min="4" max="4" width="26" customWidth="1"/>
    <col min="5" max="5" width="12" customWidth="1"/>
    <col min="6" max="6" width="16" customWidth="1"/>
    <col min="7" max="7" width="10" customWidth="1"/>
  </cols>
  <sheetData>
    <row r="1" spans="1:7" ht="24" customHeight="1" x14ac:dyDescent="0.25">
      <c r="A1" s="40" t="s">
        <v>147</v>
      </c>
      <c r="B1" s="40"/>
      <c r="C1" s="40"/>
      <c r="D1" s="40"/>
      <c r="E1" s="40"/>
      <c r="F1" s="40"/>
      <c r="G1" s="40"/>
    </row>
    <row r="3" spans="1:7" ht="31.5" customHeight="1" x14ac:dyDescent="0.25">
      <c r="A3" s="1" t="s">
        <v>148</v>
      </c>
      <c r="B3" s="1" t="s">
        <v>149</v>
      </c>
      <c r="C3" s="1" t="s">
        <v>150</v>
      </c>
      <c r="D3" s="1" t="s">
        <v>151</v>
      </c>
      <c r="E3" s="1" t="s">
        <v>152</v>
      </c>
      <c r="F3" s="1" t="s">
        <v>153</v>
      </c>
      <c r="G3" s="1" t="s">
        <v>13</v>
      </c>
    </row>
    <row r="4" spans="1:7" x14ac:dyDescent="0.25">
      <c r="A4" s="2" t="s">
        <v>154</v>
      </c>
      <c r="B4" s="2" t="s">
        <v>155</v>
      </c>
      <c r="C4" s="2" t="s">
        <v>156</v>
      </c>
      <c r="D4" s="2" t="s">
        <v>20</v>
      </c>
      <c r="E4" s="2" t="s">
        <v>157</v>
      </c>
      <c r="F4" s="3">
        <v>50</v>
      </c>
      <c r="G4" s="2" t="s">
        <v>21</v>
      </c>
    </row>
    <row r="5" spans="1:7" x14ac:dyDescent="0.25">
      <c r="A5" s="2" t="s">
        <v>158</v>
      </c>
      <c r="B5" s="2" t="s">
        <v>159</v>
      </c>
      <c r="C5" s="2" t="s">
        <v>156</v>
      </c>
      <c r="D5" s="2" t="s">
        <v>25</v>
      </c>
      <c r="E5" s="2" t="s">
        <v>157</v>
      </c>
      <c r="F5" s="3">
        <v>20</v>
      </c>
      <c r="G5" s="2" t="s">
        <v>21</v>
      </c>
    </row>
    <row r="6" spans="1:7" x14ac:dyDescent="0.25">
      <c r="A6" s="2" t="s">
        <v>160</v>
      </c>
      <c r="B6" s="2" t="s">
        <v>161</v>
      </c>
      <c r="C6" s="2" t="s">
        <v>162</v>
      </c>
      <c r="D6" s="2" t="s">
        <v>25</v>
      </c>
      <c r="E6" s="2" t="s">
        <v>163</v>
      </c>
      <c r="F6" s="3">
        <v>40</v>
      </c>
      <c r="G6" s="2" t="s">
        <v>21</v>
      </c>
    </row>
    <row r="7" spans="1:7" x14ac:dyDescent="0.25">
      <c r="A7" s="2" t="s">
        <v>164</v>
      </c>
      <c r="B7" s="2" t="s">
        <v>165</v>
      </c>
      <c r="C7" s="2" t="s">
        <v>162</v>
      </c>
      <c r="D7" s="2" t="s">
        <v>25</v>
      </c>
      <c r="E7" s="2" t="s">
        <v>163</v>
      </c>
      <c r="F7" s="3">
        <v>40</v>
      </c>
      <c r="G7" s="2" t="s">
        <v>21</v>
      </c>
    </row>
    <row r="8" spans="1:7" x14ac:dyDescent="0.25">
      <c r="A8" s="2" t="s">
        <v>166</v>
      </c>
      <c r="B8" s="2" t="s">
        <v>167</v>
      </c>
      <c r="C8" s="2" t="s">
        <v>162</v>
      </c>
      <c r="D8" s="2" t="s">
        <v>20</v>
      </c>
      <c r="E8" s="2" t="s">
        <v>163</v>
      </c>
      <c r="F8" s="3">
        <v>200</v>
      </c>
      <c r="G8" s="2" t="s">
        <v>21</v>
      </c>
    </row>
    <row r="9" spans="1:7" x14ac:dyDescent="0.25">
      <c r="A9" s="2" t="s">
        <v>168</v>
      </c>
      <c r="B9" s="2" t="s">
        <v>169</v>
      </c>
      <c r="C9" s="2" t="s">
        <v>162</v>
      </c>
      <c r="D9" s="2" t="s">
        <v>20</v>
      </c>
      <c r="E9" s="2" t="s">
        <v>163</v>
      </c>
      <c r="F9" s="3">
        <v>200</v>
      </c>
      <c r="G9" s="2" t="s">
        <v>21</v>
      </c>
    </row>
    <row r="10" spans="1:7" x14ac:dyDescent="0.25">
      <c r="A10" s="2" t="s">
        <v>170</v>
      </c>
      <c r="B10" s="2" t="s">
        <v>171</v>
      </c>
      <c r="C10" s="2" t="s">
        <v>162</v>
      </c>
      <c r="D10" s="2" t="s">
        <v>20</v>
      </c>
      <c r="E10" s="2" t="s">
        <v>163</v>
      </c>
      <c r="F10" s="3">
        <v>200</v>
      </c>
      <c r="G10" s="2" t="s">
        <v>21</v>
      </c>
    </row>
    <row r="11" spans="1:7" x14ac:dyDescent="0.25">
      <c r="A11" s="2" t="s">
        <v>172</v>
      </c>
      <c r="B11" s="2" t="s">
        <v>173</v>
      </c>
      <c r="C11" s="2" t="s">
        <v>162</v>
      </c>
      <c r="D11" s="2" t="s">
        <v>38</v>
      </c>
      <c r="E11" s="2" t="s">
        <v>163</v>
      </c>
      <c r="F11" s="3">
        <v>60</v>
      </c>
      <c r="G11" s="2" t="s">
        <v>21</v>
      </c>
    </row>
    <row r="12" spans="1:7" x14ac:dyDescent="0.25">
      <c r="A12" s="2" t="s">
        <v>174</v>
      </c>
      <c r="B12" s="2" t="s">
        <v>175</v>
      </c>
      <c r="C12" s="2" t="s">
        <v>176</v>
      </c>
      <c r="D12" s="2" t="s">
        <v>20</v>
      </c>
      <c r="E12" s="2" t="s">
        <v>157</v>
      </c>
      <c r="F12" s="3">
        <v>30</v>
      </c>
      <c r="G12" s="2" t="s">
        <v>21</v>
      </c>
    </row>
    <row r="13" spans="1:7" x14ac:dyDescent="0.25">
      <c r="A13" s="2" t="s">
        <v>177</v>
      </c>
      <c r="B13" s="2" t="s">
        <v>178</v>
      </c>
      <c r="C13" s="2" t="s">
        <v>179</v>
      </c>
      <c r="D13" s="2" t="s">
        <v>20</v>
      </c>
      <c r="E13" s="2" t="s">
        <v>157</v>
      </c>
      <c r="F13" s="3">
        <v>50</v>
      </c>
      <c r="G13" s="2" t="s">
        <v>21</v>
      </c>
    </row>
    <row r="14" spans="1:7" x14ac:dyDescent="0.25">
      <c r="A14" s="2" t="s">
        <v>180</v>
      </c>
      <c r="B14" s="2" t="s">
        <v>181</v>
      </c>
      <c r="C14" s="2" t="s">
        <v>162</v>
      </c>
      <c r="D14" s="2" t="s">
        <v>20</v>
      </c>
      <c r="E14" s="2" t="s">
        <v>157</v>
      </c>
      <c r="F14" s="3">
        <v>200</v>
      </c>
      <c r="G14" s="2" t="s">
        <v>70</v>
      </c>
    </row>
    <row r="17" spans="1:1" x14ac:dyDescent="0.25">
      <c r="A17" s="4" t="s">
        <v>71</v>
      </c>
    </row>
    <row r="18" spans="1:1" x14ac:dyDescent="0.25">
      <c r="A18" s="5" t="s">
        <v>182</v>
      </c>
    </row>
    <row r="19" spans="1:1" x14ac:dyDescent="0.25">
      <c r="A19" s="5" t="s">
        <v>183</v>
      </c>
    </row>
    <row r="20" spans="1:1" x14ac:dyDescent="0.25">
      <c r="A20" s="5" t="s">
        <v>184</v>
      </c>
    </row>
    <row r="21" spans="1:1" x14ac:dyDescent="0.25">
      <c r="A21" s="5" t="s">
        <v>185</v>
      </c>
    </row>
    <row r="22" spans="1:1" x14ac:dyDescent="0.25">
      <c r="A22" s="5" t="s">
        <v>186</v>
      </c>
    </row>
    <row r="23" spans="1:1" x14ac:dyDescent="0.25">
      <c r="A23" s="5" t="s">
        <v>187</v>
      </c>
    </row>
  </sheetData>
  <mergeCells count="1">
    <mergeCell ref="A1:G1"/>
  </mergeCells>
  <conditionalFormatting sqref="A4:G500">
    <cfRule type="expression" dxfId="42" priority="2">
      <formula>$G4="Inactive"</formula>
    </cfRule>
    <cfRule type="expression" dxfId="41" priority="3">
      <formula>$D4="Hazardous"</formula>
    </cfRule>
  </conditionalFormatting>
  <conditionalFormatting sqref="E4:E500">
    <cfRule type="expression" dxfId="40" priority="4">
      <formula>$E4="No"</formula>
    </cfRule>
  </conditionalFormatting>
  <dataValidations count="4">
    <dataValidation type="list" showInputMessage="1" showErrorMessage="1" errorTitle="Invalid entry" error="Please select a value from the list." promptTitle="Zone" prompt="Functional workflow zone." sqref="C4:C500" xr:uid="{00000000-0002-0000-0200-000000000000}">
      <formula1>"Receiving,Storage,Quarantine/QC Hold,Shipping/Staging"</formula1>
      <formula2>0</formula2>
    </dataValidation>
    <dataValidation type="list" showInputMessage="1" showErrorMessage="1" errorTitle="Invalid entry" error="Please select a value from the list." promptTitle="Storage/Handling Requirement" prompt="Physical handling requirement." sqref="D4:D500" xr:uid="{00000000-0002-0000-0200-000001000000}">
      <formula1>"Standard,Heavy/Bulk,Hazardous,Fragile"</formula1>
      <formula2>0</formula2>
    </dataValidation>
    <dataValidation type="list" showInputMessage="1" showErrorMessage="1" errorTitle="Invalid entry" error="Please select a value from the list." promptTitle="Pickable Flag" prompt="Usable as picking source?" sqref="E4:E500" xr:uid="{00000000-0002-0000-0200-000002000000}">
      <formula1>"Yes,No"</formula1>
      <formula2>0</formula2>
    </dataValidation>
    <dataValidation type="list" showInputMessage="1" showErrorMessage="1" errorTitle="Invalid entry" error="Please select a value from the list." promptTitle="Status" prompt="Location status." sqref="G4:G500" xr:uid="{00000000-0002-0000-0200-000003000000}">
      <formula1>"Active,Inactive"</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4"/>
  <sheetViews>
    <sheetView showGridLines="0" zoomScaleNormal="100" workbookViewId="0">
      <pane ySplit="3" topLeftCell="A4" activePane="bottomLeft" state="frozen"/>
      <selection pane="bottomLeft" activeCell="D21" sqref="D21"/>
    </sheetView>
  </sheetViews>
  <sheetFormatPr defaultColWidth="8.7109375" defaultRowHeight="15" x14ac:dyDescent="0.25"/>
  <cols>
    <col min="1" max="1" width="14" customWidth="1"/>
    <col min="2" max="2" width="8" customWidth="1"/>
    <col min="3" max="4" width="12" customWidth="1"/>
    <col min="5" max="5" width="28" customWidth="1"/>
    <col min="6" max="6" width="12" customWidth="1"/>
    <col min="7" max="7" width="30" customWidth="1"/>
    <col min="8" max="10" width="12" customWidth="1"/>
    <col min="11" max="11" width="14" customWidth="1"/>
    <col min="12" max="12" width="10" customWidth="1"/>
    <col min="13" max="13" width="16" customWidth="1"/>
    <col min="14" max="16" width="12" customWidth="1"/>
    <col min="17" max="17" width="10" customWidth="1"/>
    <col min="18" max="18" width="16" customWidth="1"/>
    <col min="19" max="19" width="12" customWidth="1"/>
    <col min="20" max="20" width="18" customWidth="1"/>
    <col min="21" max="21" width="26" customWidth="1"/>
    <col min="22" max="22" width="16" customWidth="1"/>
  </cols>
  <sheetData>
    <row r="1" spans="1:22" ht="24" customHeight="1" x14ac:dyDescent="0.25">
      <c r="A1" s="40" t="s">
        <v>188</v>
      </c>
      <c r="B1" s="40"/>
      <c r="C1" s="40"/>
      <c r="D1" s="40"/>
      <c r="E1" s="40"/>
      <c r="F1" s="40"/>
      <c r="G1" s="40"/>
      <c r="H1" s="40"/>
      <c r="I1" s="40"/>
      <c r="J1" s="40"/>
      <c r="K1" s="40"/>
      <c r="L1" s="40"/>
      <c r="M1" s="40"/>
      <c r="N1" s="40"/>
      <c r="O1" s="40"/>
      <c r="P1" s="40"/>
      <c r="Q1" s="40"/>
      <c r="R1" s="40"/>
      <c r="S1" s="40"/>
      <c r="T1" s="40"/>
      <c r="U1" s="40"/>
      <c r="V1" s="40"/>
    </row>
    <row r="3" spans="1:22" ht="31.5" customHeight="1" x14ac:dyDescent="0.25">
      <c r="A3" s="1" t="s">
        <v>189</v>
      </c>
      <c r="B3" s="1" t="s">
        <v>190</v>
      </c>
      <c r="C3" s="1" t="s">
        <v>191</v>
      </c>
      <c r="D3" s="1" t="s">
        <v>78</v>
      </c>
      <c r="E3" s="1" t="s">
        <v>79</v>
      </c>
      <c r="F3" s="1" t="s">
        <v>1</v>
      </c>
      <c r="G3" s="1" t="s">
        <v>2</v>
      </c>
      <c r="H3" s="1" t="s">
        <v>5</v>
      </c>
      <c r="I3" s="1" t="s">
        <v>192</v>
      </c>
      <c r="J3" s="1" t="s">
        <v>193</v>
      </c>
      <c r="K3" s="1" t="s">
        <v>194</v>
      </c>
      <c r="L3" s="1" t="s">
        <v>195</v>
      </c>
      <c r="M3" s="1" t="s">
        <v>196</v>
      </c>
      <c r="N3" s="1" t="s">
        <v>197</v>
      </c>
      <c r="O3" s="1" t="s">
        <v>198</v>
      </c>
      <c r="P3" s="1" t="s">
        <v>199</v>
      </c>
      <c r="Q3" s="1" t="s">
        <v>200</v>
      </c>
      <c r="R3" s="1" t="s">
        <v>201</v>
      </c>
      <c r="S3" s="1" t="s">
        <v>202</v>
      </c>
      <c r="T3" s="1" t="s">
        <v>203</v>
      </c>
      <c r="U3" s="1" t="s">
        <v>204</v>
      </c>
      <c r="V3" s="1" t="s">
        <v>205</v>
      </c>
    </row>
    <row r="4" spans="1:22" x14ac:dyDescent="0.25">
      <c r="A4" s="6" t="s">
        <v>206</v>
      </c>
      <c r="B4" s="7">
        <v>10</v>
      </c>
      <c r="C4" s="8">
        <v>46174</v>
      </c>
      <c r="D4" s="6" t="s">
        <v>18</v>
      </c>
      <c r="E4" s="9" t="str">
        <f>INDEX('02_Master_Supplier'!$B:$B,MATCH(D4,'02_Master_Supplier'!$A:$A,0))</f>
        <v>Komatsu Parts Indonesia</v>
      </c>
      <c r="F4" s="6" t="s">
        <v>14</v>
      </c>
      <c r="G4" s="9" t="str">
        <f>INDEX('01_Master_Material'!$B:$B,MATCH(F4,'01_Master_Material'!$A:$A,0))</f>
        <v>Hydraulic Cylinder Seal Kit 80mm</v>
      </c>
      <c r="H4" s="10" t="e">
        <f>INDEX('01_Master_Material'!#REF!,MATCH(F4,'01_Master_Material'!$A:$A,0))</f>
        <v>#REF!</v>
      </c>
      <c r="I4" s="11">
        <v>5</v>
      </c>
      <c r="J4" s="12">
        <v>1500</v>
      </c>
      <c r="K4" s="13">
        <f t="shared" ref="K4:K13" si="0">I4*J4</f>
        <v>7500</v>
      </c>
      <c r="L4" s="14" t="e">
        <f>INDEX('01_Master_Material'!#REF!,MATCH(F4,'01_Master_Material'!$A:$A,0))</f>
        <v>#REF!</v>
      </c>
      <c r="M4" s="13" t="e">
        <f>INDEX('01_Master_Material'!$G:$G,MATCH(F4,'01_Master_Material'!$A:$A,0))*L4</f>
        <v>#REF!</v>
      </c>
      <c r="N4" s="15" t="e">
        <f t="shared" ref="N4:N13" si="1">J4-M4</f>
        <v>#REF!</v>
      </c>
      <c r="O4" s="16">
        <f t="shared" ref="O4:O13" si="2">IFERROR(N4/M4,0)</f>
        <v>0</v>
      </c>
      <c r="P4" s="17" t="s">
        <v>20</v>
      </c>
      <c r="Q4" s="14">
        <f>INDEX('01_Master_Material'!$L:$L,MATCH(F4,'01_Master_Material'!$A:$A,0))</f>
        <v>14</v>
      </c>
      <c r="R4" s="18">
        <f t="shared" ref="R4:R13" si="3">C4+Q4</f>
        <v>46188</v>
      </c>
      <c r="S4" s="17" t="s">
        <v>157</v>
      </c>
      <c r="T4" s="19" t="str">
        <f>IF($S4="Yes","Cancelled",IF(SUMIFS('05_Goods_Receipt'!$N:$N,'05_Goods_Receipt'!$D:$D,$A4,'05_Goods_Receipt'!$E:$E,$B4)&gt;=I4,"Closed",IF(SUMIFS('05_Goods_Receipt'!$N:$N,'05_Goods_Receipt'!$D:$D,$A4,'05_Goods_Receipt'!$E:$E,$B4)&gt;0,"Partially Received","Open")))</f>
        <v>Closed</v>
      </c>
      <c r="U4" s="6"/>
      <c r="V4" s="20" t="str">
        <f t="shared" ref="V4:V13" si="4">A4&amp;"-"&amp;B4</f>
        <v>PO-2026-0001-10</v>
      </c>
    </row>
    <row r="5" spans="1:22" x14ac:dyDescent="0.25">
      <c r="A5" s="6" t="s">
        <v>206</v>
      </c>
      <c r="B5" s="7">
        <v>20</v>
      </c>
      <c r="C5" s="8">
        <v>46174</v>
      </c>
      <c r="D5" s="6" t="s">
        <v>18</v>
      </c>
      <c r="E5" s="9" t="str">
        <f>INDEX('02_Master_Supplier'!$B:$B,MATCH(D5,'02_Master_Supplier'!$A:$A,0))</f>
        <v>Komatsu Parts Indonesia</v>
      </c>
      <c r="F5" s="6" t="s">
        <v>42</v>
      </c>
      <c r="G5" s="9" t="str">
        <f>INDEX('01_Master_Material'!$B:$B,MATCH(F5,'01_Master_Material'!$A:$A,0))</f>
        <v>Hydraulic Hose 1/2in x 3m</v>
      </c>
      <c r="H5" s="10" t="e">
        <f>INDEX('01_Master_Material'!#REF!,MATCH(F5,'01_Master_Material'!$A:$A,0))</f>
        <v>#REF!</v>
      </c>
      <c r="I5" s="11">
        <v>30</v>
      </c>
      <c r="J5" s="12">
        <v>52</v>
      </c>
      <c r="K5" s="13">
        <f t="shared" si="0"/>
        <v>1560</v>
      </c>
      <c r="L5" s="14" t="e">
        <f>INDEX('01_Master_Material'!#REF!,MATCH(F5,'01_Master_Material'!$A:$A,0))</f>
        <v>#REF!</v>
      </c>
      <c r="M5" s="13" t="e">
        <f>INDEX('01_Master_Material'!$G:$G,MATCH(F5,'01_Master_Material'!$A:$A,0))*L5</f>
        <v>#REF!</v>
      </c>
      <c r="N5" s="15" t="e">
        <f t="shared" si="1"/>
        <v>#REF!</v>
      </c>
      <c r="O5" s="16">
        <f t="shared" si="2"/>
        <v>0</v>
      </c>
      <c r="P5" s="17" t="s">
        <v>20</v>
      </c>
      <c r="Q5" s="14">
        <f>INDEX('01_Master_Material'!$L:$L,MATCH(F5,'01_Master_Material'!$A:$A,0))</f>
        <v>12</v>
      </c>
      <c r="R5" s="18">
        <f t="shared" si="3"/>
        <v>46186</v>
      </c>
      <c r="S5" s="17" t="s">
        <v>157</v>
      </c>
      <c r="T5" s="19" t="str">
        <f>IF($S5="Yes","Cancelled",IF(SUMIFS('05_Goods_Receipt'!$N:$N,'05_Goods_Receipt'!$D:$D,$A5,'05_Goods_Receipt'!$E:$E,$B5)&gt;=I5,"Closed",IF(SUMIFS('05_Goods_Receipt'!$N:$N,'05_Goods_Receipt'!$D:$D,$A5,'05_Goods_Receipt'!$E:$E,$B5)&gt;0,"Partially Received","Open")))</f>
        <v>Partially Received</v>
      </c>
      <c r="U5" s="6"/>
      <c r="V5" s="20" t="str">
        <f t="shared" si="4"/>
        <v>PO-2026-0001-20</v>
      </c>
    </row>
    <row r="6" spans="1:22" x14ac:dyDescent="0.25">
      <c r="A6" s="6" t="s">
        <v>207</v>
      </c>
      <c r="B6" s="7">
        <v>10</v>
      </c>
      <c r="C6" s="8">
        <v>46178</v>
      </c>
      <c r="D6" s="6" t="s">
        <v>28</v>
      </c>
      <c r="E6" s="9" t="str">
        <f>INDEX('02_Master_Supplier'!$B:$B,MATCH(D6,'02_Master_Supplier'!$A:$A,0))</f>
        <v>Caterpillar Engine Parts Distributor</v>
      </c>
      <c r="F6" s="6" t="s">
        <v>58</v>
      </c>
      <c r="G6" s="9" t="str">
        <f>INDEX('01_Master_Material'!$B:$B,MATCH(F6,'01_Master_Material'!$A:$A,0))</f>
        <v>Turbocharger Assembly (Cat C15)</v>
      </c>
      <c r="H6" s="10" t="e">
        <f>INDEX('01_Master_Material'!#REF!,MATCH(F6,'01_Master_Material'!$A:$A,0))</f>
        <v>#REF!</v>
      </c>
      <c r="I6" s="11">
        <v>2</v>
      </c>
      <c r="J6" s="12">
        <v>1450</v>
      </c>
      <c r="K6" s="13">
        <f t="shared" si="0"/>
        <v>2900</v>
      </c>
      <c r="L6" s="14" t="e">
        <f>INDEX('01_Master_Material'!#REF!,MATCH(F6,'01_Master_Material'!$A:$A,0))</f>
        <v>#REF!</v>
      </c>
      <c r="M6" s="13" t="e">
        <f>INDEX('01_Master_Material'!$G:$G,MATCH(F6,'01_Master_Material'!$A:$A,0))*L6</f>
        <v>#REF!</v>
      </c>
      <c r="N6" s="15" t="e">
        <f t="shared" si="1"/>
        <v>#REF!</v>
      </c>
      <c r="O6" s="16">
        <f t="shared" si="2"/>
        <v>0</v>
      </c>
      <c r="P6" s="17" t="s">
        <v>208</v>
      </c>
      <c r="Q6" s="14">
        <f>INDEX('01_Master_Material'!$L:$L,MATCH(F6,'01_Master_Material'!$A:$A,0))</f>
        <v>35</v>
      </c>
      <c r="R6" s="18">
        <f t="shared" si="3"/>
        <v>46213</v>
      </c>
      <c r="S6" s="17" t="s">
        <v>157</v>
      </c>
      <c r="T6" s="19" t="str">
        <f>IF($S6="Yes","Cancelled",IF(SUMIFS('05_Goods_Receipt'!$N:$N,'05_Goods_Receipt'!$D:$D,$A6,'05_Goods_Receipt'!$E:$E,$B6)&gt;=I6,"Closed",IF(SUMIFS('05_Goods_Receipt'!$N:$N,'05_Goods_Receipt'!$D:$D,$A6,'05_Goods_Receipt'!$E:$E,$B6)&gt;0,"Partially Received","Open")))</f>
        <v>Open</v>
      </c>
      <c r="U6" s="6" t="s">
        <v>209</v>
      </c>
      <c r="V6" s="20" t="str">
        <f t="shared" si="4"/>
        <v>PO-2026-0002-10</v>
      </c>
    </row>
    <row r="7" spans="1:22" x14ac:dyDescent="0.25">
      <c r="A7" s="6" t="s">
        <v>207</v>
      </c>
      <c r="B7" s="7">
        <v>20</v>
      </c>
      <c r="C7" s="8">
        <v>46178</v>
      </c>
      <c r="D7" s="6" t="s">
        <v>28</v>
      </c>
      <c r="E7" s="9" t="str">
        <f>INDEX('02_Master_Supplier'!$B:$B,MATCH(D7,'02_Master_Supplier'!$A:$A,0))</f>
        <v>Caterpillar Engine Parts Distributor</v>
      </c>
      <c r="F7" s="6" t="s">
        <v>26</v>
      </c>
      <c r="G7" s="9" t="str">
        <f>INDEX('01_Master_Material'!$B:$B,MATCH(F7,'01_Master_Material'!$A:$A,0))</f>
        <v>Engine Oil Filter (Cat 320D)</v>
      </c>
      <c r="H7" s="10" t="e">
        <f>INDEX('01_Master_Material'!#REF!,MATCH(F7,'01_Master_Material'!$A:$A,0))</f>
        <v>#REF!</v>
      </c>
      <c r="I7" s="11">
        <v>10</v>
      </c>
      <c r="J7" s="12">
        <v>430</v>
      </c>
      <c r="K7" s="13">
        <f t="shared" si="0"/>
        <v>4300</v>
      </c>
      <c r="L7" s="14" t="e">
        <f>INDEX('01_Master_Material'!#REF!,MATCH(F7,'01_Master_Material'!$A:$A,0))</f>
        <v>#REF!</v>
      </c>
      <c r="M7" s="13" t="e">
        <f>INDEX('01_Master_Material'!$G:$G,MATCH(F7,'01_Master_Material'!$A:$A,0))*L7</f>
        <v>#REF!</v>
      </c>
      <c r="N7" s="15" t="e">
        <f t="shared" si="1"/>
        <v>#REF!</v>
      </c>
      <c r="O7" s="16">
        <f t="shared" si="2"/>
        <v>0</v>
      </c>
      <c r="P7" s="17" t="s">
        <v>20</v>
      </c>
      <c r="Q7" s="14">
        <f>INDEX('01_Master_Material'!$L:$L,MATCH(F7,'01_Master_Material'!$A:$A,0))</f>
        <v>7</v>
      </c>
      <c r="R7" s="18">
        <f t="shared" si="3"/>
        <v>46185</v>
      </c>
      <c r="S7" s="17" t="s">
        <v>157</v>
      </c>
      <c r="T7" s="19" t="str">
        <f>IF($S7="Yes","Cancelled",IF(SUMIFS('05_Goods_Receipt'!$N:$N,'05_Goods_Receipt'!$D:$D,$A7,'05_Goods_Receipt'!$E:$E,$B7)&gt;=I7,"Closed",IF(SUMIFS('05_Goods_Receipt'!$N:$N,'05_Goods_Receipt'!$D:$D,$A7,'05_Goods_Receipt'!$E:$E,$B7)&gt;0,"Partially Received","Open")))</f>
        <v>Partially Received</v>
      </c>
      <c r="U7" s="6"/>
      <c r="V7" s="20" t="str">
        <f t="shared" si="4"/>
        <v>PO-2026-0002-20</v>
      </c>
    </row>
    <row r="8" spans="1:22" x14ac:dyDescent="0.25">
      <c r="A8" s="6" t="s">
        <v>210</v>
      </c>
      <c r="B8" s="7">
        <v>10</v>
      </c>
      <c r="C8" s="8">
        <v>46183</v>
      </c>
      <c r="D8" s="6" t="s">
        <v>24</v>
      </c>
      <c r="E8" s="9" t="str">
        <f>INDEX('02_Master_Supplier'!$B:$B,MATCH(D8,'02_Master_Supplier'!$A:$A,0))</f>
        <v>PT Krakatau Steel Distribusi</v>
      </c>
      <c r="F8" s="6" t="s">
        <v>22</v>
      </c>
      <c r="G8" s="9" t="str">
        <f>INDEX('01_Master_Material'!$B:$B,MATCH(F8,'01_Master_Material'!$A:$A,0))</f>
        <v>Steel Plate 10mm x 2m x 1m</v>
      </c>
      <c r="H8" s="10" t="e">
        <f>INDEX('01_Master_Material'!#REF!,MATCH(F8,'01_Master_Material'!$A:$A,0))</f>
        <v>#REF!</v>
      </c>
      <c r="I8" s="11">
        <v>15</v>
      </c>
      <c r="J8" s="12">
        <v>315</v>
      </c>
      <c r="K8" s="13">
        <f t="shared" si="0"/>
        <v>4725</v>
      </c>
      <c r="L8" s="14" t="e">
        <f>INDEX('01_Master_Material'!#REF!,MATCH(F8,'01_Master_Material'!$A:$A,0))</f>
        <v>#REF!</v>
      </c>
      <c r="M8" s="13" t="e">
        <f>INDEX('01_Master_Material'!$G:$G,MATCH(F8,'01_Master_Material'!$A:$A,0))*L8</f>
        <v>#REF!</v>
      </c>
      <c r="N8" s="15" t="e">
        <f t="shared" si="1"/>
        <v>#REF!</v>
      </c>
      <c r="O8" s="16">
        <f t="shared" si="2"/>
        <v>0</v>
      </c>
      <c r="P8" s="17" t="s">
        <v>20</v>
      </c>
      <c r="Q8" s="14">
        <f>INDEX('01_Master_Material'!$L:$L,MATCH(F8,'01_Master_Material'!$A:$A,0))</f>
        <v>21</v>
      </c>
      <c r="R8" s="18">
        <f t="shared" si="3"/>
        <v>46204</v>
      </c>
      <c r="S8" s="17" t="s">
        <v>157</v>
      </c>
      <c r="T8" s="19" t="str">
        <f>IF($S8="Yes","Cancelled",IF(SUMIFS('05_Goods_Receipt'!$N:$N,'05_Goods_Receipt'!$D:$D,$A8,'05_Goods_Receipt'!$E:$E,$B8)&gt;=I8,"Closed",IF(SUMIFS('05_Goods_Receipt'!$N:$N,'05_Goods_Receipt'!$D:$D,$A8,'05_Goods_Receipt'!$E:$E,$B8)&gt;0,"Partially Received","Open")))</f>
        <v>Open</v>
      </c>
      <c r="U8" s="6"/>
      <c r="V8" s="20" t="str">
        <f t="shared" si="4"/>
        <v>PO-2026-0003-10</v>
      </c>
    </row>
    <row r="9" spans="1:22" x14ac:dyDescent="0.25">
      <c r="A9" s="6" t="s">
        <v>210</v>
      </c>
      <c r="B9" s="7">
        <v>20</v>
      </c>
      <c r="C9" s="8">
        <v>46183</v>
      </c>
      <c r="D9" s="6" t="s">
        <v>24</v>
      </c>
      <c r="E9" s="9" t="str">
        <f>INDEX('02_Master_Supplier'!$B:$B,MATCH(D9,'02_Master_Supplier'!$A:$A,0))</f>
        <v>PT Krakatau Steel Distribusi</v>
      </c>
      <c r="F9" s="6" t="s">
        <v>62</v>
      </c>
      <c r="G9" s="9" t="str">
        <f>INDEX('01_Master_Material'!$B:$B,MATCH(F9,'01_Master_Material'!$A:$A,0))</f>
        <v>Steel I-Beam 6m Length</v>
      </c>
      <c r="H9" s="10" t="e">
        <f>INDEX('01_Master_Material'!#REF!,MATCH(F9,'01_Master_Material'!$A:$A,0))</f>
        <v>#REF!</v>
      </c>
      <c r="I9" s="11">
        <v>8</v>
      </c>
      <c r="J9" s="12">
        <v>625</v>
      </c>
      <c r="K9" s="13">
        <f t="shared" si="0"/>
        <v>5000</v>
      </c>
      <c r="L9" s="14" t="e">
        <f>INDEX('01_Master_Material'!#REF!,MATCH(F9,'01_Master_Material'!$A:$A,0))</f>
        <v>#REF!</v>
      </c>
      <c r="M9" s="13" t="e">
        <f>INDEX('01_Master_Material'!$G:$G,MATCH(F9,'01_Master_Material'!$A:$A,0))*L9</f>
        <v>#REF!</v>
      </c>
      <c r="N9" s="15" t="e">
        <f t="shared" si="1"/>
        <v>#REF!</v>
      </c>
      <c r="O9" s="16">
        <f t="shared" si="2"/>
        <v>0</v>
      </c>
      <c r="P9" s="17" t="s">
        <v>20</v>
      </c>
      <c r="Q9" s="14">
        <f>INDEX('01_Master_Material'!$L:$L,MATCH(F9,'01_Master_Material'!$A:$A,0))</f>
        <v>25</v>
      </c>
      <c r="R9" s="18">
        <f t="shared" si="3"/>
        <v>46208</v>
      </c>
      <c r="S9" s="17" t="s">
        <v>163</v>
      </c>
      <c r="T9" s="19" t="str">
        <f>IF($S9="Yes","Cancelled",IF(SUMIFS('05_Goods_Receipt'!$N:$N,'05_Goods_Receipt'!$D:$D,$A9,'05_Goods_Receipt'!$E:$E,$B9)&gt;=I9,"Closed",IF(SUMIFS('05_Goods_Receipt'!$N:$N,'05_Goods_Receipt'!$D:$D,$A9,'05_Goods_Receipt'!$E:$E,$B9)&gt;0,"Partially Received","Open")))</f>
        <v>Cancelled</v>
      </c>
      <c r="U9" s="6" t="s">
        <v>211</v>
      </c>
      <c r="V9" s="20" t="str">
        <f t="shared" si="4"/>
        <v>PO-2026-0003-20</v>
      </c>
    </row>
    <row r="10" spans="1:22" x14ac:dyDescent="0.25">
      <c r="A10" s="6" t="s">
        <v>212</v>
      </c>
      <c r="B10" s="7">
        <v>10</v>
      </c>
      <c r="C10" s="8">
        <v>46185</v>
      </c>
      <c r="D10" s="6" t="s">
        <v>51</v>
      </c>
      <c r="E10" s="9" t="str">
        <f>INDEX('02_Master_Supplier'!$B:$B,MATCH(D10,'02_Master_Supplier'!$A:$A,0))</f>
        <v>Original Equipment Spares Corp</v>
      </c>
      <c r="F10" s="6" t="s">
        <v>49</v>
      </c>
      <c r="G10" s="9" t="str">
        <f>INDEX('01_Master_Material'!$B:$B,MATCH(F10,'01_Master_Material'!$A:$A,0))</f>
        <v>Final Drive Motor (Excavator PC200)</v>
      </c>
      <c r="H10" s="10" t="e">
        <f>INDEX('01_Master_Material'!#REF!,MATCH(F10,'01_Master_Material'!$A:$A,0))</f>
        <v>#REF!</v>
      </c>
      <c r="I10" s="11">
        <v>1</v>
      </c>
      <c r="J10" s="12">
        <v>2500</v>
      </c>
      <c r="K10" s="13">
        <f t="shared" si="0"/>
        <v>2500</v>
      </c>
      <c r="L10" s="14" t="e">
        <f>INDEX('01_Master_Material'!#REF!,MATCH(F10,'01_Master_Material'!$A:$A,0))</f>
        <v>#REF!</v>
      </c>
      <c r="M10" s="13" t="e">
        <f>INDEX('01_Master_Material'!$G:$G,MATCH(F10,'01_Master_Material'!$A:$A,0))*L10</f>
        <v>#REF!</v>
      </c>
      <c r="N10" s="15" t="e">
        <f t="shared" si="1"/>
        <v>#REF!</v>
      </c>
      <c r="O10" s="16">
        <f t="shared" si="2"/>
        <v>0</v>
      </c>
      <c r="P10" s="17" t="s">
        <v>208</v>
      </c>
      <c r="Q10" s="14">
        <f>INDEX('01_Master_Material'!$L:$L,MATCH(F10,'01_Master_Material'!$A:$A,0))</f>
        <v>45</v>
      </c>
      <c r="R10" s="18">
        <f t="shared" si="3"/>
        <v>46230</v>
      </c>
      <c r="S10" s="17" t="s">
        <v>157</v>
      </c>
      <c r="T10" s="19" t="str">
        <f>IF($S10="Yes","Cancelled",IF(SUMIFS('05_Goods_Receipt'!$N:$N,'05_Goods_Receipt'!$D:$D,$A10,'05_Goods_Receipt'!$E:$E,$B10)&gt;=I10,"Closed",IF(SUMIFS('05_Goods_Receipt'!$N:$N,'05_Goods_Receipt'!$D:$D,$A10,'05_Goods_Receipt'!$E:$E,$B10)&gt;0,"Partially Received","Open")))</f>
        <v>Open</v>
      </c>
      <c r="U10" s="6" t="s">
        <v>213</v>
      </c>
      <c r="V10" s="20" t="str">
        <f t="shared" si="4"/>
        <v>PO-2026-0004-10</v>
      </c>
    </row>
    <row r="11" spans="1:22" x14ac:dyDescent="0.25">
      <c r="A11" s="6" t="s">
        <v>212</v>
      </c>
      <c r="B11" s="7">
        <v>20</v>
      </c>
      <c r="C11" s="8">
        <v>46185</v>
      </c>
      <c r="D11" s="6" t="s">
        <v>51</v>
      </c>
      <c r="E11" s="9" t="str">
        <f>INDEX('02_Master_Supplier'!$B:$B,MATCH(D11,'02_Master_Supplier'!$A:$A,0))</f>
        <v>Original Equipment Spares Corp</v>
      </c>
      <c r="F11" s="6" t="s">
        <v>68</v>
      </c>
      <c r="G11" s="9" t="str">
        <f>INDEX('01_Master_Material'!$B:$B,MATCH(F11,'01_Master_Material'!$A:$A,0))</f>
        <v>Undercarriage Chain Link Assembly</v>
      </c>
      <c r="H11" s="10" t="e">
        <f>INDEX('01_Master_Material'!#REF!,MATCH(F11,'01_Master_Material'!$A:$A,0))</f>
        <v>#REF!</v>
      </c>
      <c r="I11" s="11">
        <v>2</v>
      </c>
      <c r="J11" s="12">
        <v>1100</v>
      </c>
      <c r="K11" s="13">
        <f t="shared" si="0"/>
        <v>2200</v>
      </c>
      <c r="L11" s="14" t="e">
        <f>INDEX('01_Master_Material'!#REF!,MATCH(F11,'01_Master_Material'!$A:$A,0))</f>
        <v>#REF!</v>
      </c>
      <c r="M11" s="13" t="e">
        <f>INDEX('01_Master_Material'!$G:$G,MATCH(F11,'01_Master_Material'!$A:$A,0))*L11</f>
        <v>#REF!</v>
      </c>
      <c r="N11" s="15" t="e">
        <f t="shared" si="1"/>
        <v>#REF!</v>
      </c>
      <c r="O11" s="16">
        <f t="shared" si="2"/>
        <v>0</v>
      </c>
      <c r="P11" s="17" t="s">
        <v>20</v>
      </c>
      <c r="Q11" s="14">
        <f>INDEX('01_Master_Material'!$L:$L,MATCH(F11,'01_Master_Material'!$A:$A,0))</f>
        <v>40</v>
      </c>
      <c r="R11" s="18">
        <f t="shared" si="3"/>
        <v>46225</v>
      </c>
      <c r="S11" s="17" t="s">
        <v>157</v>
      </c>
      <c r="T11" s="19" t="str">
        <f>IF($S11="Yes","Cancelled",IF(SUMIFS('05_Goods_Receipt'!$N:$N,'05_Goods_Receipt'!$D:$D,$A11,'05_Goods_Receipt'!$E:$E,$B11)&gt;=I11,"Closed",IF(SUMIFS('05_Goods_Receipt'!$N:$N,'05_Goods_Receipt'!$D:$D,$A11,'05_Goods_Receipt'!$E:$E,$B11)&gt;0,"Partially Received","Open")))</f>
        <v>Open</v>
      </c>
      <c r="U11" s="6"/>
      <c r="V11" s="20" t="str">
        <f t="shared" si="4"/>
        <v>PO-2026-0004-20</v>
      </c>
    </row>
    <row r="12" spans="1:22" x14ac:dyDescent="0.25">
      <c r="A12" s="6" t="s">
        <v>214</v>
      </c>
      <c r="B12" s="7">
        <v>10</v>
      </c>
      <c r="C12" s="8">
        <v>46188</v>
      </c>
      <c r="D12" s="6" t="s">
        <v>32</v>
      </c>
      <c r="E12" s="9" t="str">
        <f>INDEX('02_Master_Supplier'!$B:$B,MATCH(D12,'02_Master_Supplier'!$A:$A,0))</f>
        <v>PT Fastener Nusantara</v>
      </c>
      <c r="F12" s="6" t="s">
        <v>29</v>
      </c>
      <c r="G12" s="9" t="str">
        <f>INDEX('01_Master_Material'!$B:$B,MATCH(F12,'01_Master_Material'!$A:$A,0))</f>
        <v>Hex Bolt M12x50 Grade 8.8</v>
      </c>
      <c r="H12" s="10" t="e">
        <f>INDEX('01_Master_Material'!#REF!,MATCH(F12,'01_Master_Material'!$A:$A,0))</f>
        <v>#REF!</v>
      </c>
      <c r="I12" s="11">
        <v>50</v>
      </c>
      <c r="J12" s="12">
        <v>33.5</v>
      </c>
      <c r="K12" s="13">
        <f t="shared" si="0"/>
        <v>1675</v>
      </c>
      <c r="L12" s="14" t="e">
        <f>INDEX('01_Master_Material'!#REF!,MATCH(F12,'01_Master_Material'!$A:$A,0))</f>
        <v>#REF!</v>
      </c>
      <c r="M12" s="13" t="e">
        <f>INDEX('01_Master_Material'!$G:$G,MATCH(F12,'01_Master_Material'!$A:$A,0))*L12</f>
        <v>#REF!</v>
      </c>
      <c r="N12" s="15" t="e">
        <f t="shared" si="1"/>
        <v>#REF!</v>
      </c>
      <c r="O12" s="16">
        <f t="shared" si="2"/>
        <v>0</v>
      </c>
      <c r="P12" s="17" t="s">
        <v>20</v>
      </c>
      <c r="Q12" s="14">
        <f>INDEX('01_Master_Material'!$L:$L,MATCH(F12,'01_Master_Material'!$A:$A,0))</f>
        <v>10</v>
      </c>
      <c r="R12" s="18">
        <f t="shared" si="3"/>
        <v>46198</v>
      </c>
      <c r="S12" s="17" t="s">
        <v>157</v>
      </c>
      <c r="T12" s="19" t="str">
        <f>IF($S12="Yes","Cancelled",IF(SUMIFS('05_Goods_Receipt'!$N:$N,'05_Goods_Receipt'!$D:$D,$A12,'05_Goods_Receipt'!$E:$E,$B12)&gt;=I12,"Closed",IF(SUMIFS('05_Goods_Receipt'!$N:$N,'05_Goods_Receipt'!$D:$D,$A12,'05_Goods_Receipt'!$E:$E,$B12)&gt;0,"Partially Received","Open")))</f>
        <v>Closed</v>
      </c>
      <c r="U12" s="6"/>
      <c r="V12" s="20" t="str">
        <f t="shared" si="4"/>
        <v>PO-2026-0005-10</v>
      </c>
    </row>
    <row r="13" spans="1:22" x14ac:dyDescent="0.25">
      <c r="A13" s="6" t="s">
        <v>214</v>
      </c>
      <c r="B13" s="7">
        <v>20</v>
      </c>
      <c r="C13" s="8">
        <v>46188</v>
      </c>
      <c r="D13" s="6" t="s">
        <v>32</v>
      </c>
      <c r="E13" s="9" t="str">
        <f>INDEX('02_Master_Supplier'!$B:$B,MATCH(D13,'02_Master_Supplier'!$A:$A,0))</f>
        <v>PT Fastener Nusantara</v>
      </c>
      <c r="F13" s="6" t="s">
        <v>56</v>
      </c>
      <c r="G13" s="9" t="str">
        <f>INDEX('01_Master_Material'!$B:$B,MATCH(F13,'01_Master_Material'!$A:$A,0))</f>
        <v>Flat Washer M12 Zinc Plated</v>
      </c>
      <c r="H13" s="10" t="e">
        <f>INDEX('01_Master_Material'!#REF!,MATCH(F13,'01_Master_Material'!$A:$A,0))</f>
        <v>#REF!</v>
      </c>
      <c r="I13" s="11">
        <v>40</v>
      </c>
      <c r="J13" s="12">
        <v>9.8000000000000007</v>
      </c>
      <c r="K13" s="13">
        <f t="shared" si="0"/>
        <v>392</v>
      </c>
      <c r="L13" s="14" t="e">
        <f>INDEX('01_Master_Material'!#REF!,MATCH(F13,'01_Master_Material'!$A:$A,0))</f>
        <v>#REF!</v>
      </c>
      <c r="M13" s="13" t="e">
        <f>INDEX('01_Master_Material'!$G:$G,MATCH(F13,'01_Master_Material'!$A:$A,0))*L13</f>
        <v>#REF!</v>
      </c>
      <c r="N13" s="15" t="e">
        <f t="shared" si="1"/>
        <v>#REF!</v>
      </c>
      <c r="O13" s="16">
        <f t="shared" si="2"/>
        <v>0</v>
      </c>
      <c r="P13" s="17" t="s">
        <v>20</v>
      </c>
      <c r="Q13" s="14">
        <f>INDEX('01_Master_Material'!$L:$L,MATCH(F13,'01_Master_Material'!$A:$A,0))</f>
        <v>10</v>
      </c>
      <c r="R13" s="18">
        <f t="shared" si="3"/>
        <v>46198</v>
      </c>
      <c r="S13" s="17" t="s">
        <v>157</v>
      </c>
      <c r="T13" s="19" t="str">
        <f>IF($S13="Yes","Cancelled",IF(SUMIFS('05_Goods_Receipt'!$N:$N,'05_Goods_Receipt'!$D:$D,$A13,'05_Goods_Receipt'!$E:$E,$B13)&gt;=I13,"Closed",IF(SUMIFS('05_Goods_Receipt'!$N:$N,'05_Goods_Receipt'!$D:$D,$A13,'05_Goods_Receipt'!$E:$E,$B13)&gt;0,"Partially Received","Open")))</f>
        <v>Closed</v>
      </c>
      <c r="U13" s="6"/>
      <c r="V13" s="20" t="str">
        <f t="shared" si="4"/>
        <v>PO-2026-0005-20</v>
      </c>
    </row>
    <row r="16" spans="1:22" x14ac:dyDescent="0.25">
      <c r="A16" s="4" t="s">
        <v>71</v>
      </c>
    </row>
    <row r="17" spans="1:1" x14ac:dyDescent="0.25">
      <c r="A17" s="5" t="s">
        <v>215</v>
      </c>
    </row>
    <row r="18" spans="1:1" x14ac:dyDescent="0.25">
      <c r="A18" s="5" t="s">
        <v>216</v>
      </c>
    </row>
    <row r="19" spans="1:1" x14ac:dyDescent="0.25">
      <c r="A19" s="5" t="s">
        <v>217</v>
      </c>
    </row>
    <row r="20" spans="1:1" x14ac:dyDescent="0.25">
      <c r="A20" s="5" t="s">
        <v>218</v>
      </c>
    </row>
    <row r="21" spans="1:1" x14ac:dyDescent="0.25">
      <c r="A21" s="5" t="s">
        <v>219</v>
      </c>
    </row>
    <row r="22" spans="1:1" x14ac:dyDescent="0.25">
      <c r="A22" s="5" t="s">
        <v>220</v>
      </c>
    </row>
    <row r="23" spans="1:1" x14ac:dyDescent="0.25">
      <c r="A23" s="5" t="s">
        <v>221</v>
      </c>
    </row>
    <row r="24" spans="1:1" x14ac:dyDescent="0.25">
      <c r="A24" s="5" t="s">
        <v>222</v>
      </c>
    </row>
  </sheetData>
  <mergeCells count="1">
    <mergeCell ref="A1:V1"/>
  </mergeCells>
  <conditionalFormatting sqref="N4:N500">
    <cfRule type="expression" dxfId="39" priority="6">
      <formula>$N4&gt;0</formula>
    </cfRule>
    <cfRule type="expression" dxfId="38" priority="7">
      <formula>$N4&lt;0</formula>
    </cfRule>
  </conditionalFormatting>
  <conditionalFormatting sqref="P4:P500">
    <cfRule type="expression" dxfId="37" priority="2">
      <formula>$P4="Urgent"</formula>
    </cfRule>
  </conditionalFormatting>
  <conditionalFormatting sqref="T4:T500">
    <cfRule type="expression" dxfId="36" priority="3">
      <formula>$T4="Cancelled"</formula>
    </cfRule>
    <cfRule type="expression" dxfId="35" priority="4">
      <formula>$T4="Closed"</formula>
    </cfRule>
    <cfRule type="expression" dxfId="34" priority="5">
      <formula>$T4="Open"</formula>
    </cfRule>
  </conditionalFormatting>
  <dataValidations count="2">
    <dataValidation type="list" showInputMessage="1" showErrorMessage="1" errorTitle="Invalid entry" error="Please select a value from the list." promptTitle="Order Priority" prompt="Standard or Urgent (emergency) order." sqref="P4:P500" xr:uid="{00000000-0002-0000-0300-000002000000}">
      <formula1>"Standard,Urgent"</formula1>
      <formula2>0</formula2>
    </dataValidation>
    <dataValidation type="list" showInputMessage="1" showErrorMessage="1" errorTitle="Invalid entry" error="Please select a value from the list." promptTitle="Cancelled Flag" prompt="Has this PO line been cancelled? This overrides the automatic status." sqref="S4:S500" xr:uid="{00000000-0002-0000-0300-000003000000}">
      <formula1>"Yes,No"</formula1>
      <formula2>0</formula2>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errorTitle="Invalid entry" error="Please select a value from the list." promptTitle="Material Code" prompt="Select a valid material code from the master." xr:uid="{00000000-0002-0000-0300-000000000000}">
          <x14:formula1>
            <xm:f>'01_Master_Material'!$A$4:$A$23</xm:f>
          </x14:formula1>
          <x14:formula2>
            <xm:f>0</xm:f>
          </x14:formula2>
          <xm:sqref>F4:F500</xm:sqref>
        </x14:dataValidation>
        <x14:dataValidation type="list" showInputMessage="1" showErrorMessage="1" errorTitle="Invalid entry" error="Please select a value from the list." promptTitle="Supplier Code" prompt="Select a valid supplier code from the master." xr:uid="{00000000-0002-0000-0300-000001000000}">
          <x14:formula1>
            <xm:f>'02_Master_Supplier'!$A$4:$A$13</xm:f>
          </x14:formula1>
          <x14:formula2>
            <xm:f>0</xm:f>
          </x14:formula2>
          <xm:sqref>D4:D500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8"/>
  <sheetViews>
    <sheetView showGridLines="0" topLeftCell="O1" zoomScaleNormal="100" workbookViewId="0">
      <pane ySplit="3" topLeftCell="A4" activePane="bottomLeft" state="frozen"/>
      <selection pane="bottomLeft" activeCell="Y8" sqref="Y8"/>
    </sheetView>
  </sheetViews>
  <sheetFormatPr defaultColWidth="8.7109375" defaultRowHeight="15" x14ac:dyDescent="0.25"/>
  <cols>
    <col min="1" max="1" width="14" customWidth="1"/>
    <col min="2" max="2" width="8" customWidth="1"/>
    <col min="3" max="3" width="12" customWidth="1"/>
    <col min="4" max="4" width="14" customWidth="1"/>
    <col min="5" max="5" width="8" customWidth="1"/>
    <col min="6" max="6" width="16" customWidth="1"/>
    <col min="7" max="7" width="26" customWidth="1"/>
    <col min="8" max="8" width="12" customWidth="1"/>
    <col min="9" max="9" width="30" customWidth="1"/>
    <col min="10" max="10" width="14" customWidth="1"/>
    <col min="11" max="11" width="12" customWidth="1"/>
    <col min="12" max="12" width="10" customWidth="1"/>
    <col min="13" max="15" width="12" customWidth="1"/>
    <col min="16" max="16" width="16" customWidth="1"/>
    <col min="17" max="20" width="18" customWidth="1"/>
    <col min="21" max="24" width="12" customWidth="1"/>
    <col min="25" max="25" width="30" customWidth="1"/>
    <col min="26" max="26" width="16" customWidth="1"/>
  </cols>
  <sheetData>
    <row r="1" spans="1:26" ht="24" customHeight="1" x14ac:dyDescent="0.25">
      <c r="A1" s="40" t="s">
        <v>223</v>
      </c>
      <c r="B1" s="40"/>
      <c r="C1" s="40"/>
      <c r="D1" s="40"/>
      <c r="E1" s="40"/>
      <c r="F1" s="40"/>
      <c r="G1" s="40"/>
      <c r="H1" s="40"/>
      <c r="I1" s="40"/>
      <c r="J1" s="40"/>
      <c r="K1" s="40"/>
      <c r="L1" s="40"/>
      <c r="M1" s="40"/>
      <c r="N1" s="40"/>
      <c r="O1" s="40"/>
      <c r="P1" s="40"/>
      <c r="Q1" s="40"/>
      <c r="R1" s="40"/>
      <c r="S1" s="40"/>
      <c r="T1" s="40"/>
      <c r="U1" s="40"/>
      <c r="V1" s="40"/>
      <c r="W1" s="40"/>
      <c r="X1" s="40"/>
      <c r="Y1" s="40"/>
    </row>
    <row r="3" spans="1:26" ht="31.5" customHeight="1" x14ac:dyDescent="0.25">
      <c r="A3" s="1" t="s">
        <v>224</v>
      </c>
      <c r="B3" s="1" t="s">
        <v>225</v>
      </c>
      <c r="C3" s="1" t="s">
        <v>226</v>
      </c>
      <c r="D3" s="1" t="s">
        <v>189</v>
      </c>
      <c r="E3" s="1" t="s">
        <v>190</v>
      </c>
      <c r="F3" s="1" t="s">
        <v>205</v>
      </c>
      <c r="G3" s="1" t="s">
        <v>79</v>
      </c>
      <c r="H3" s="1" t="s">
        <v>1</v>
      </c>
      <c r="I3" s="1" t="s">
        <v>2</v>
      </c>
      <c r="J3" s="1" t="s">
        <v>227</v>
      </c>
      <c r="K3" s="1" t="s">
        <v>228</v>
      </c>
      <c r="L3" s="1" t="s">
        <v>229</v>
      </c>
      <c r="M3" s="1" t="s">
        <v>230</v>
      </c>
      <c r="N3" s="1" t="s">
        <v>231</v>
      </c>
      <c r="O3" s="1" t="s">
        <v>232</v>
      </c>
      <c r="P3" s="1" t="s">
        <v>233</v>
      </c>
      <c r="Q3" s="1" t="s">
        <v>234</v>
      </c>
      <c r="R3" s="1" t="s">
        <v>235</v>
      </c>
      <c r="S3" s="1" t="s">
        <v>236</v>
      </c>
      <c r="T3" s="1" t="s">
        <v>237</v>
      </c>
      <c r="U3" s="1" t="s">
        <v>238</v>
      </c>
      <c r="V3" s="1" t="s">
        <v>239</v>
      </c>
      <c r="W3" s="1" t="s">
        <v>240</v>
      </c>
      <c r="X3" s="1" t="s">
        <v>241</v>
      </c>
      <c r="Y3" s="1" t="s">
        <v>204</v>
      </c>
      <c r="Z3" s="1" t="s">
        <v>242</v>
      </c>
    </row>
    <row r="4" spans="1:26" x14ac:dyDescent="0.25">
      <c r="A4" s="6" t="s">
        <v>243</v>
      </c>
      <c r="B4" s="7">
        <v>10</v>
      </c>
      <c r="C4" s="8">
        <v>46187</v>
      </c>
      <c r="D4" s="6" t="s">
        <v>206</v>
      </c>
      <c r="E4" s="7">
        <v>10</v>
      </c>
      <c r="F4" s="20" t="str">
        <f>D4&amp;"-"&amp;E4</f>
        <v>PO-2026-0001-10</v>
      </c>
      <c r="G4" s="9" t="str">
        <f>INDEX('04_Purchase_Order'!$E:$E,MATCH(F4,'04_Purchase_Order'!$V:$V,0))</f>
        <v>Komatsu Parts Indonesia</v>
      </c>
      <c r="H4" s="9" t="str">
        <f>INDEX('04_Purchase_Order'!$F:$F,MATCH(F4,'04_Purchase_Order'!$V:$V,0))</f>
        <v>MAT-00001</v>
      </c>
      <c r="I4" s="9" t="str">
        <f>INDEX('01_Master_Material'!$B:$B,MATCH(H4,'01_Master_Material'!$A:$A,0))</f>
        <v>Hydraulic Cylinder Seal Kit 80mm</v>
      </c>
      <c r="J4" s="14">
        <f>INDEX('04_Purchase_Order'!$I:$I,MATCH(F4,'04_Purchase_Order'!$V:$V,0))</f>
        <v>5</v>
      </c>
      <c r="K4" s="21">
        <f>INDEX('04_Purchase_Order'!$J:$J,MATCH(F4,'04_Purchase_Order'!$V:$V,0))</f>
        <v>1500</v>
      </c>
      <c r="L4" s="10" t="e">
        <f>INDEX('04_Purchase_Order'!$H:$H,MATCH(F4,'04_Purchase_Order'!$V:$V,0))</f>
        <v>#REF!</v>
      </c>
      <c r="M4" s="11">
        <v>5</v>
      </c>
      <c r="N4" s="11">
        <v>5</v>
      </c>
      <c r="O4" s="22">
        <f>M4-N4</f>
        <v>0</v>
      </c>
      <c r="P4" s="19" t="str">
        <f>IF(O4=0,"Fully Accepted",IF(N4=0,"Fully Rejected","Partially Accepted"))</f>
        <v>Fully Accepted</v>
      </c>
      <c r="Q4" s="6" t="s">
        <v>244</v>
      </c>
      <c r="R4" s="6" t="s">
        <v>245</v>
      </c>
      <c r="S4" s="6" t="s">
        <v>154</v>
      </c>
      <c r="T4" s="23">
        <f>INDEX('04_Purchase_Order'!$R:$R,MATCH(F4,'04_Purchase_Order'!$V:$V,0))</f>
        <v>46188</v>
      </c>
      <c r="U4" s="19" t="str">
        <f>IF(C4&lt;=T4,"On-Time","Late")</f>
        <v>On-Time</v>
      </c>
      <c r="V4" s="24">
        <f>M4-J4</f>
        <v>0</v>
      </c>
      <c r="W4" s="16">
        <f>IFERROR(V4/J4,0)</f>
        <v>0</v>
      </c>
      <c r="X4" s="10" t="str">
        <f>IF(COUNTIF('06_Put_Away'!$F:$F,Z4)&gt;0,"Completed","Pending")</f>
        <v>Completed</v>
      </c>
      <c r="Y4" s="6"/>
      <c r="Z4" s="20" t="str">
        <f>A4&amp;"-"&amp;B4</f>
        <v>GR-2026-0001-10</v>
      </c>
    </row>
    <row r="5" spans="1:26" x14ac:dyDescent="0.25">
      <c r="A5" s="6" t="s">
        <v>243</v>
      </c>
      <c r="B5" s="7">
        <v>20</v>
      </c>
      <c r="C5" s="8">
        <v>46187</v>
      </c>
      <c r="D5" s="6" t="s">
        <v>206</v>
      </c>
      <c r="E5" s="7">
        <v>20</v>
      </c>
      <c r="F5" s="20" t="str">
        <f>D5&amp;"-"&amp;E5</f>
        <v>PO-2026-0001-20</v>
      </c>
      <c r="G5" s="9" t="str">
        <f>INDEX('04_Purchase_Order'!$E:$E,MATCH(F5,'04_Purchase_Order'!$V:$V,0))</f>
        <v>Komatsu Parts Indonesia</v>
      </c>
      <c r="H5" s="9" t="str">
        <f>INDEX('04_Purchase_Order'!$F:$F,MATCH(F5,'04_Purchase_Order'!$V:$V,0))</f>
        <v>MAT-00008</v>
      </c>
      <c r="I5" s="9" t="str">
        <f>INDEX('01_Master_Material'!$B:$B,MATCH(H5,'01_Master_Material'!$A:$A,0))</f>
        <v>Hydraulic Hose 1/2in x 3m</v>
      </c>
      <c r="J5" s="14">
        <f>INDEX('04_Purchase_Order'!$I:$I,MATCH(F5,'04_Purchase_Order'!$V:$V,0))</f>
        <v>30</v>
      </c>
      <c r="K5" s="21">
        <f>INDEX('04_Purchase_Order'!$J:$J,MATCH(F5,'04_Purchase_Order'!$V:$V,0))</f>
        <v>52</v>
      </c>
      <c r="L5" s="10" t="e">
        <f>INDEX('04_Purchase_Order'!$H:$H,MATCH(F5,'04_Purchase_Order'!$V:$V,0))</f>
        <v>#REF!</v>
      </c>
      <c r="M5" s="11">
        <v>30</v>
      </c>
      <c r="N5" s="11">
        <v>28</v>
      </c>
      <c r="O5" s="22">
        <f>M5-N5</f>
        <v>2</v>
      </c>
      <c r="P5" s="19" t="str">
        <f>IF(O5=0,"Fully Accepted",IF(N5=0,"Fully Rejected","Partially Accepted"))</f>
        <v>Partially Accepted</v>
      </c>
      <c r="Q5" s="6" t="s">
        <v>246</v>
      </c>
      <c r="R5" s="6" t="s">
        <v>247</v>
      </c>
      <c r="S5" s="6" t="s">
        <v>154</v>
      </c>
      <c r="T5" s="23">
        <f>INDEX('04_Purchase_Order'!$R:$R,MATCH(F5,'04_Purchase_Order'!$V:$V,0))</f>
        <v>46186</v>
      </c>
      <c r="U5" s="19" t="str">
        <f>IF(C5&lt;=T5,"On-Time","Late")</f>
        <v>Late</v>
      </c>
      <c r="V5" s="24">
        <f>M5-J5</f>
        <v>0</v>
      </c>
      <c r="W5" s="16">
        <f>IFERROR(V5/J5,0)</f>
        <v>0</v>
      </c>
      <c r="X5" s="10" t="str">
        <f>IF(COUNTIF('06_Put_Away'!$F:$F,Z5)&gt;0,"Completed","Pending")</f>
        <v>Completed</v>
      </c>
      <c r="Y5" s="6" t="s">
        <v>248</v>
      </c>
      <c r="Z5" s="20" t="str">
        <f>A5&amp;"-"&amp;B5</f>
        <v>GR-2026-0001-20</v>
      </c>
    </row>
    <row r="6" spans="1:26" x14ac:dyDescent="0.25">
      <c r="A6" s="6" t="s">
        <v>249</v>
      </c>
      <c r="B6" s="7">
        <v>10</v>
      </c>
      <c r="C6" s="8">
        <v>46184</v>
      </c>
      <c r="D6" s="6" t="s">
        <v>207</v>
      </c>
      <c r="E6" s="7">
        <v>20</v>
      </c>
      <c r="F6" s="20" t="str">
        <f>D6&amp;"-"&amp;E6</f>
        <v>PO-2026-0002-20</v>
      </c>
      <c r="G6" s="9" t="str">
        <f>INDEX('04_Purchase_Order'!$E:$E,MATCH(F6,'04_Purchase_Order'!$V:$V,0))</f>
        <v>Caterpillar Engine Parts Distributor</v>
      </c>
      <c r="H6" s="9" t="str">
        <f>INDEX('04_Purchase_Order'!$F:$F,MATCH(F6,'04_Purchase_Order'!$V:$V,0))</f>
        <v>MAT-00003</v>
      </c>
      <c r="I6" s="9" t="str">
        <f>INDEX('01_Master_Material'!$B:$B,MATCH(H6,'01_Master_Material'!$A:$A,0))</f>
        <v>Engine Oil Filter (Cat 320D)</v>
      </c>
      <c r="J6" s="14">
        <f>INDEX('04_Purchase_Order'!$I:$I,MATCH(F6,'04_Purchase_Order'!$V:$V,0))</f>
        <v>10</v>
      </c>
      <c r="K6" s="21">
        <f>INDEX('04_Purchase_Order'!$J:$J,MATCH(F6,'04_Purchase_Order'!$V:$V,0))</f>
        <v>430</v>
      </c>
      <c r="L6" s="10" t="e">
        <f>INDEX('04_Purchase_Order'!$H:$H,MATCH(F6,'04_Purchase_Order'!$V:$V,0))</f>
        <v>#REF!</v>
      </c>
      <c r="M6" s="11">
        <v>6</v>
      </c>
      <c r="N6" s="11">
        <v>6</v>
      </c>
      <c r="O6" s="22">
        <f>M6-N6</f>
        <v>0</v>
      </c>
      <c r="P6" s="19" t="str">
        <f>IF(O6=0,"Fully Accepted",IF(N6=0,"Fully Rejected","Partially Accepted"))</f>
        <v>Fully Accepted</v>
      </c>
      <c r="Q6" s="6" t="s">
        <v>244</v>
      </c>
      <c r="R6" s="6" t="s">
        <v>250</v>
      </c>
      <c r="S6" s="6" t="s">
        <v>154</v>
      </c>
      <c r="T6" s="23">
        <f>INDEX('04_Purchase_Order'!$R:$R,MATCH(F6,'04_Purchase_Order'!$V:$V,0))</f>
        <v>46185</v>
      </c>
      <c r="U6" s="19" t="str">
        <f>IF(C6&lt;=T6,"On-Time","Late")</f>
        <v>On-Time</v>
      </c>
      <c r="V6" s="24">
        <f>M6-J6</f>
        <v>-4</v>
      </c>
      <c r="W6" s="16">
        <f>IFERROR(V6/J6,0)</f>
        <v>-0.4</v>
      </c>
      <c r="X6" s="10" t="str">
        <f>IF(COUNTIF('06_Put_Away'!$F:$F,Z6)&gt;0,"Completed","Pending")</f>
        <v>Completed</v>
      </c>
      <c r="Y6" s="6" t="s">
        <v>251</v>
      </c>
      <c r="Z6" s="20" t="str">
        <f>A6&amp;"-"&amp;B6</f>
        <v>GR-2026-0002-10</v>
      </c>
    </row>
    <row r="7" spans="1:26" x14ac:dyDescent="0.25">
      <c r="A7" s="6" t="s">
        <v>252</v>
      </c>
      <c r="B7" s="7">
        <v>10</v>
      </c>
      <c r="C7" s="8">
        <v>46197</v>
      </c>
      <c r="D7" s="6" t="s">
        <v>214</v>
      </c>
      <c r="E7" s="7">
        <v>10</v>
      </c>
      <c r="F7" s="20" t="str">
        <f>D7&amp;"-"&amp;E7</f>
        <v>PO-2026-0005-10</v>
      </c>
      <c r="G7" s="9" t="str">
        <f>INDEX('04_Purchase_Order'!$E:$E,MATCH(F7,'04_Purchase_Order'!$V:$V,0))</f>
        <v>PT Fastener Nusantara</v>
      </c>
      <c r="H7" s="9" t="str">
        <f>INDEX('04_Purchase_Order'!$F:$F,MATCH(F7,'04_Purchase_Order'!$V:$V,0))</f>
        <v>MAT-00004</v>
      </c>
      <c r="I7" s="9" t="str">
        <f>INDEX('01_Master_Material'!$B:$B,MATCH(H7,'01_Master_Material'!$A:$A,0))</f>
        <v>Hex Bolt M12x50 Grade 8.8</v>
      </c>
      <c r="J7" s="14">
        <f>INDEX('04_Purchase_Order'!$I:$I,MATCH(F7,'04_Purchase_Order'!$V:$V,0))</f>
        <v>50</v>
      </c>
      <c r="K7" s="21">
        <f>INDEX('04_Purchase_Order'!$J:$J,MATCH(F7,'04_Purchase_Order'!$V:$V,0))</f>
        <v>33.5</v>
      </c>
      <c r="L7" s="10" t="e">
        <f>INDEX('04_Purchase_Order'!$H:$H,MATCH(F7,'04_Purchase_Order'!$V:$V,0))</f>
        <v>#REF!</v>
      </c>
      <c r="M7" s="11">
        <v>50</v>
      </c>
      <c r="N7" s="11">
        <v>50</v>
      </c>
      <c r="O7" s="22">
        <f>M7-N7</f>
        <v>0</v>
      </c>
      <c r="P7" s="19" t="str">
        <f>IF(O7=0,"Fully Accepted",IF(N7=0,"Fully Rejected","Partially Accepted"))</f>
        <v>Fully Accepted</v>
      </c>
      <c r="Q7" s="6" t="s">
        <v>244</v>
      </c>
      <c r="R7" s="6"/>
      <c r="S7" s="6" t="s">
        <v>154</v>
      </c>
      <c r="T7" s="23">
        <f>INDEX('04_Purchase_Order'!$R:$R,MATCH(F7,'04_Purchase_Order'!$V:$V,0))</f>
        <v>46198</v>
      </c>
      <c r="U7" s="19" t="str">
        <f>IF(C7&lt;=T7,"On-Time","Late")</f>
        <v>On-Time</v>
      </c>
      <c r="V7" s="24">
        <f>M7-J7</f>
        <v>0</v>
      </c>
      <c r="W7" s="16">
        <f>IFERROR(V7/J7,0)</f>
        <v>0</v>
      </c>
      <c r="X7" s="10" t="str">
        <f>IF(COUNTIF('06_Put_Away'!$F:$F,Z7)&gt;0,"Completed","Pending")</f>
        <v>Completed</v>
      </c>
      <c r="Y7" s="6"/>
      <c r="Z7" s="20" t="str">
        <f>A7&amp;"-"&amp;B7</f>
        <v>GR-2026-0003-10</v>
      </c>
    </row>
    <row r="8" spans="1:26" x14ac:dyDescent="0.25">
      <c r="A8" s="6" t="s">
        <v>253</v>
      </c>
      <c r="B8" s="7">
        <v>10</v>
      </c>
      <c r="C8" s="8">
        <v>46199</v>
      </c>
      <c r="D8" s="6" t="s">
        <v>214</v>
      </c>
      <c r="E8" s="7">
        <v>20</v>
      </c>
      <c r="F8" s="20" t="str">
        <f>D8&amp;"-"&amp;E8</f>
        <v>PO-2026-0005-20</v>
      </c>
      <c r="G8" s="9" t="str">
        <f>INDEX('04_Purchase_Order'!$E:$E,MATCH(F8,'04_Purchase_Order'!$V:$V,0))</f>
        <v>PT Fastener Nusantara</v>
      </c>
      <c r="H8" s="9" t="str">
        <f>INDEX('04_Purchase_Order'!$F:$F,MATCH(F8,'04_Purchase_Order'!$V:$V,0))</f>
        <v>MAT-00014</v>
      </c>
      <c r="I8" s="9" t="str">
        <f>INDEX('01_Master_Material'!$B:$B,MATCH(H8,'01_Master_Material'!$A:$A,0))</f>
        <v>Flat Washer M12 Zinc Plated</v>
      </c>
      <c r="J8" s="14">
        <f>INDEX('04_Purchase_Order'!$I:$I,MATCH(F8,'04_Purchase_Order'!$V:$V,0))</f>
        <v>40</v>
      </c>
      <c r="K8" s="21">
        <f>INDEX('04_Purchase_Order'!$J:$J,MATCH(F8,'04_Purchase_Order'!$V:$V,0))</f>
        <v>9.8000000000000007</v>
      </c>
      <c r="L8" s="10" t="e">
        <f>INDEX('04_Purchase_Order'!$H:$H,MATCH(F8,'04_Purchase_Order'!$V:$V,0))</f>
        <v>#REF!</v>
      </c>
      <c r="M8" s="11">
        <v>40</v>
      </c>
      <c r="N8" s="11">
        <v>40</v>
      </c>
      <c r="O8" s="22">
        <f>M8-N8</f>
        <v>0</v>
      </c>
      <c r="P8" s="19" t="str">
        <f>IF(O8=0,"Fully Accepted",IF(N8=0,"Fully Rejected","Partially Accepted"))</f>
        <v>Fully Accepted</v>
      </c>
      <c r="Q8" s="6" t="s">
        <v>244</v>
      </c>
      <c r="R8" s="6"/>
      <c r="S8" s="6" t="s">
        <v>154</v>
      </c>
      <c r="T8" s="23">
        <f>INDEX('04_Purchase_Order'!$R:$R,MATCH(F8,'04_Purchase_Order'!$V:$V,0))</f>
        <v>46198</v>
      </c>
      <c r="U8" s="19" t="str">
        <f>IF(C8&lt;=T8,"On-Time","Late")</f>
        <v>Late</v>
      </c>
      <c r="V8" s="24">
        <f>M8-J8</f>
        <v>0</v>
      </c>
      <c r="W8" s="16">
        <f>IFERROR(V8/J8,0)</f>
        <v>0</v>
      </c>
      <c r="X8" s="10" t="str">
        <f>IF(COUNTIF('06_Put_Away'!$F:$F,Z8)&gt;0,"Completed","Pending")</f>
        <v>Completed</v>
      </c>
      <c r="Y8" s="6" t="s">
        <v>254</v>
      </c>
      <c r="Z8" s="20" t="str">
        <f>A8&amp;"-"&amp;B8</f>
        <v>GR-2026-0004-10</v>
      </c>
    </row>
    <row r="11" spans="1:26" x14ac:dyDescent="0.25">
      <c r="A11" s="4" t="s">
        <v>71</v>
      </c>
    </row>
    <row r="12" spans="1:26" x14ac:dyDescent="0.25">
      <c r="A12" s="5" t="s">
        <v>255</v>
      </c>
    </row>
    <row r="13" spans="1:26" x14ac:dyDescent="0.25">
      <c r="A13" s="5" t="s">
        <v>256</v>
      </c>
    </row>
    <row r="14" spans="1:26" x14ac:dyDescent="0.25">
      <c r="A14" s="5" t="s">
        <v>257</v>
      </c>
    </row>
    <row r="15" spans="1:26" x14ac:dyDescent="0.25">
      <c r="A15" s="5" t="s">
        <v>258</v>
      </c>
    </row>
    <row r="16" spans="1:26" x14ac:dyDescent="0.25">
      <c r="A16" s="5" t="s">
        <v>259</v>
      </c>
    </row>
    <row r="17" spans="1:1" x14ac:dyDescent="0.25">
      <c r="A17" s="5" t="s">
        <v>260</v>
      </c>
    </row>
    <row r="18" spans="1:1" x14ac:dyDescent="0.25">
      <c r="A18" s="5" t="s">
        <v>261</v>
      </c>
    </row>
  </sheetData>
  <mergeCells count="1">
    <mergeCell ref="A1:Y1"/>
  </mergeCells>
  <conditionalFormatting sqref="P4:P500">
    <cfRule type="expression" dxfId="33" priority="3">
      <formula>$P4="Fully Rejected"</formula>
    </cfRule>
    <cfRule type="expression" dxfId="32" priority="4">
      <formula>$P4="Partially Accepted"</formula>
    </cfRule>
  </conditionalFormatting>
  <conditionalFormatting sqref="U4:U500">
    <cfRule type="expression" dxfId="31" priority="2">
      <formula>$U4="Late"</formula>
    </cfRule>
  </conditionalFormatting>
  <conditionalFormatting sqref="V4:V500">
    <cfRule type="expression" dxfId="30" priority="5">
      <formula>$V4&lt;0</formula>
    </cfRule>
  </conditionalFormatting>
  <conditionalFormatting sqref="X4:X500">
    <cfRule type="expression" dxfId="29" priority="6">
      <formula>$X4="Pending"</formula>
    </cfRule>
  </conditionalFormatting>
  <dataValidations count="2">
    <dataValidation type="list" showInputMessage="1" showErrorMessage="1" errorTitle="Invalid entry" error="Please select a value from the list." promptTitle="Rejection Reason" prompt="Reason for any rejected quantity." sqref="Q4:Q500" xr:uid="{00000000-0002-0000-0400-000002000000}">
      <formula1>"N/A,Damaged in Transit,Wrong Item,Quality Defect,Quantity Shortage"</formula1>
      <formula2>0</formula2>
    </dataValidation>
    <dataValidation type="list" showInputMessage="1" showErrorMessage="1" errorTitle="Invalid entry" error="Please select a value from the list." promptTitle="Receiving Location (Dock)" prompt="Select the receiving dock used." sqref="S4:S500" xr:uid="{00000000-0002-0000-0400-000003000000}">
      <formula1>"RCV-DOCK-01,RCV-DOCK-02"</formula1>
      <formula2>0</formula2>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errorTitle="Invalid entry" error="Please select a value from the list." promptTitle="PO Number" prompt="Select the PO Number this receipt is against." xr:uid="{00000000-0002-0000-0400-000000000000}">
          <x14:formula1>
            <xm:f>'04_Purchase_Order'!$A$4:$A$13</xm:f>
          </x14:formula1>
          <x14:formula2>
            <xm:f>0</xm:f>
          </x14:formula2>
          <xm:sqref>D4:D500</xm:sqref>
        </x14:dataValidation>
        <x14:dataValidation type="list" showInputMessage="1" showErrorMessage="1" errorTitle="Invalid entry" error="Please select a value from the list." promptTitle="PO Line" prompt="Select the PO Line this receipt is against." xr:uid="{00000000-0002-0000-0400-000001000000}">
          <x14:formula1>
            <xm:f>'04_Purchase_Order'!$B$4:$B$13</xm:f>
          </x14:formula1>
          <x14:formula2>
            <xm:f>0</xm:f>
          </x14:formula2>
          <xm:sqref>E4:E500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7"/>
  <sheetViews>
    <sheetView showGridLines="0" zoomScaleNormal="100" workbookViewId="0">
      <pane ySplit="3" topLeftCell="A4" activePane="bottomLeft" state="frozen"/>
      <selection pane="bottomLeft" activeCell="V7" sqref="V7"/>
    </sheetView>
  </sheetViews>
  <sheetFormatPr defaultColWidth="8.7109375" defaultRowHeight="15" x14ac:dyDescent="0.25"/>
  <cols>
    <col min="1" max="1" width="16" customWidth="1"/>
    <col min="2" max="2" width="10" customWidth="1"/>
    <col min="3" max="3" width="12" customWidth="1"/>
    <col min="4" max="4" width="14" customWidth="1"/>
    <col min="5" max="5" width="8" customWidth="1"/>
    <col min="6" max="6" width="16" customWidth="1"/>
    <col min="7" max="7" width="12" customWidth="1"/>
    <col min="8" max="8" width="30" customWidth="1"/>
    <col min="9" max="9" width="18" customWidth="1"/>
    <col min="10" max="10" width="12" customWidth="1"/>
    <col min="11" max="11" width="14" customWidth="1"/>
    <col min="12" max="12" width="16" customWidth="1"/>
    <col min="13" max="13" width="10" customWidth="1"/>
    <col min="14" max="14" width="18" customWidth="1"/>
    <col min="15" max="15" width="14" customWidth="1"/>
    <col min="16" max="16" width="22" customWidth="1"/>
    <col min="17" max="17" width="16" customWidth="1"/>
    <col min="18" max="18" width="20" customWidth="1"/>
    <col min="19" max="19" width="12" customWidth="1"/>
    <col min="20" max="20" width="14" customWidth="1"/>
    <col min="21" max="21" width="34" customWidth="1"/>
    <col min="22" max="22" width="16" customWidth="1"/>
  </cols>
  <sheetData>
    <row r="1" spans="1:22" ht="24" customHeight="1" x14ac:dyDescent="0.25">
      <c r="A1" s="40" t="s">
        <v>262</v>
      </c>
      <c r="B1" s="40"/>
      <c r="C1" s="40"/>
      <c r="D1" s="40"/>
      <c r="E1" s="40"/>
      <c r="F1" s="40"/>
      <c r="G1" s="40"/>
      <c r="H1" s="40"/>
      <c r="I1" s="40"/>
      <c r="J1" s="40"/>
      <c r="K1" s="40"/>
      <c r="L1" s="40"/>
      <c r="M1" s="40"/>
      <c r="N1" s="40"/>
      <c r="O1" s="40"/>
      <c r="P1" s="40"/>
      <c r="Q1" s="40"/>
      <c r="R1" s="40"/>
      <c r="S1" s="40"/>
      <c r="T1" s="40"/>
      <c r="U1" s="40"/>
      <c r="V1" s="40"/>
    </row>
    <row r="3" spans="1:22" ht="31.5" customHeight="1" x14ac:dyDescent="0.25">
      <c r="A3" s="1" t="s">
        <v>263</v>
      </c>
      <c r="B3" s="1" t="s">
        <v>264</v>
      </c>
      <c r="C3" s="1" t="s">
        <v>265</v>
      </c>
      <c r="D3" s="1" t="s">
        <v>224</v>
      </c>
      <c r="E3" s="1" t="s">
        <v>225</v>
      </c>
      <c r="F3" s="1" t="s">
        <v>242</v>
      </c>
      <c r="G3" s="1" t="s">
        <v>1</v>
      </c>
      <c r="H3" s="1" t="s">
        <v>2</v>
      </c>
      <c r="I3" s="1" t="s">
        <v>266</v>
      </c>
      <c r="J3" s="1" t="s">
        <v>267</v>
      </c>
      <c r="K3" s="1" t="s">
        <v>195</v>
      </c>
      <c r="L3" s="1" t="s">
        <v>268</v>
      </c>
      <c r="M3" s="1" t="s">
        <v>269</v>
      </c>
      <c r="N3" s="1" t="s">
        <v>270</v>
      </c>
      <c r="O3" s="1" t="s">
        <v>271</v>
      </c>
      <c r="P3" s="1" t="s">
        <v>272</v>
      </c>
      <c r="Q3" s="1" t="s">
        <v>273</v>
      </c>
      <c r="R3" s="1" t="s">
        <v>274</v>
      </c>
      <c r="S3" s="1" t="s">
        <v>275</v>
      </c>
      <c r="T3" s="1" t="s">
        <v>276</v>
      </c>
      <c r="U3" s="1" t="s">
        <v>204</v>
      </c>
      <c r="V3" s="1" t="s">
        <v>277</v>
      </c>
    </row>
    <row r="4" spans="1:22" x14ac:dyDescent="0.25">
      <c r="A4" s="6" t="s">
        <v>278</v>
      </c>
      <c r="B4" s="7">
        <v>10</v>
      </c>
      <c r="C4" s="8">
        <v>46188</v>
      </c>
      <c r="D4" s="6" t="s">
        <v>243</v>
      </c>
      <c r="E4" s="7">
        <v>10</v>
      </c>
      <c r="F4" s="20" t="str">
        <f>D4&amp;"-"&amp;E4</f>
        <v>GR-2026-0001-10</v>
      </c>
      <c r="G4" s="9" t="str">
        <f>INDEX('05_Goods_Receipt'!$H:$H,MATCH(F4,'05_Goods_Receipt'!$Z:$Z,0))</f>
        <v>MAT-00001</v>
      </c>
      <c r="H4" s="9" t="str">
        <f>INDEX('01_Master_Material'!$B:$B,MATCH(G4,'01_Master_Material'!$A:$A,0))</f>
        <v>Hydraulic Cylinder Seal Kit 80mm</v>
      </c>
      <c r="I4" s="14">
        <f>INDEX('05_Goods_Receipt'!$N:$N,MATCH(F4,'05_Goods_Receipt'!$Z:$Z,0))</f>
        <v>5</v>
      </c>
      <c r="J4" s="10" t="e">
        <f>INDEX('05_Goods_Receipt'!$L:$L,MATCH(F4,'05_Goods_Receipt'!$Z:$Z,0))</f>
        <v>#REF!</v>
      </c>
      <c r="K4" s="14" t="e">
        <f>INDEX('01_Master_Material'!#REF!,MATCH(G4,'01_Master_Material'!$A:$A,0))</f>
        <v>#REF!</v>
      </c>
      <c r="L4" s="22" t="e">
        <f>I4*K4</f>
        <v>#REF!</v>
      </c>
      <c r="M4" s="10" t="str">
        <f>INDEX('01_Master_Material'!$D:$D,MATCH(G4,'01_Master_Material'!$A:$A,0))</f>
        <v>PCS</v>
      </c>
      <c r="N4" s="9" t="str">
        <f>INDEX('01_Master_Material'!$I:$I,MATCH(G4,'01_Master_Material'!$A:$A,0))</f>
        <v>Standard</v>
      </c>
      <c r="O4" s="6" t="s">
        <v>166</v>
      </c>
      <c r="P4" s="9" t="str">
        <f>INDEX('03_Master_Location'!$D:$D,MATCH(O4,'03_Master_Location'!$A:$A,0))</f>
        <v>Standard</v>
      </c>
      <c r="Q4" s="19" t="str">
        <f>IF(N4=P4,"Match","Mismatch - Review")</f>
        <v>Match</v>
      </c>
      <c r="R4" s="19" t="str">
        <f>IF(Q4="Match","Completed","Exception - Needs Review")</f>
        <v>Completed</v>
      </c>
      <c r="S4" s="23">
        <f>INDEX('05_Goods_Receipt'!$C:$C,MATCH(F4,'05_Goods_Receipt'!$Z:$Z,0))</f>
        <v>46187</v>
      </c>
      <c r="T4" s="22">
        <f>C4-S4</f>
        <v>1</v>
      </c>
      <c r="U4" s="6"/>
      <c r="V4" s="20" t="str">
        <f>A4&amp;"-"&amp;B4</f>
        <v>PA-2026-0001-10</v>
      </c>
    </row>
    <row r="5" spans="1:22" x14ac:dyDescent="0.25">
      <c r="A5" s="6" t="s">
        <v>278</v>
      </c>
      <c r="B5" s="7">
        <v>20</v>
      </c>
      <c r="C5" s="8">
        <v>46188</v>
      </c>
      <c r="D5" s="6" t="s">
        <v>243</v>
      </c>
      <c r="E5" s="7">
        <v>20</v>
      </c>
      <c r="F5" s="20" t="str">
        <f>D5&amp;"-"&amp;E5</f>
        <v>GR-2026-0001-20</v>
      </c>
      <c r="G5" s="9" t="str">
        <f>INDEX('05_Goods_Receipt'!$H:$H,MATCH(F5,'05_Goods_Receipt'!$Z:$Z,0))</f>
        <v>MAT-00008</v>
      </c>
      <c r="H5" s="9" t="str">
        <f>INDEX('01_Master_Material'!$B:$B,MATCH(G5,'01_Master_Material'!$A:$A,0))</f>
        <v>Hydraulic Hose 1/2in x 3m</v>
      </c>
      <c r="I5" s="14">
        <f>INDEX('05_Goods_Receipt'!$N:$N,MATCH(F5,'05_Goods_Receipt'!$Z:$Z,0))</f>
        <v>28</v>
      </c>
      <c r="J5" s="10" t="e">
        <f>INDEX('05_Goods_Receipt'!$L:$L,MATCH(F5,'05_Goods_Receipt'!$Z:$Z,0))</f>
        <v>#REF!</v>
      </c>
      <c r="K5" s="14" t="e">
        <f>INDEX('01_Master_Material'!#REF!,MATCH(G5,'01_Master_Material'!$A:$A,0))</f>
        <v>#REF!</v>
      </c>
      <c r="L5" s="22" t="e">
        <f>I5*K5</f>
        <v>#REF!</v>
      </c>
      <c r="M5" s="10" t="str">
        <f>INDEX('01_Master_Material'!$D:$D,MATCH(G5,'01_Master_Material'!$A:$A,0))</f>
        <v>PCS</v>
      </c>
      <c r="N5" s="9" t="str">
        <f>INDEX('01_Master_Material'!$I:$I,MATCH(G5,'01_Master_Material'!$A:$A,0))</f>
        <v>Standard</v>
      </c>
      <c r="O5" s="6" t="s">
        <v>168</v>
      </c>
      <c r="P5" s="9" t="str">
        <f>INDEX('03_Master_Location'!$D:$D,MATCH(O5,'03_Master_Location'!$A:$A,0))</f>
        <v>Standard</v>
      </c>
      <c r="Q5" s="19" t="str">
        <f>IF(N5=P5,"Match","Mismatch - Review")</f>
        <v>Match</v>
      </c>
      <c r="R5" s="19" t="str">
        <f>IF(Q5="Match","Completed","Exception - Needs Review")</f>
        <v>Completed</v>
      </c>
      <c r="S5" s="23">
        <f>INDEX('05_Goods_Receipt'!$C:$C,MATCH(F5,'05_Goods_Receipt'!$Z:$Z,0))</f>
        <v>46187</v>
      </c>
      <c r="T5" s="22">
        <f>C5-S5</f>
        <v>1</v>
      </c>
      <c r="U5" s="6"/>
      <c r="V5" s="20" t="str">
        <f>A5&amp;"-"&amp;B5</f>
        <v>PA-2026-0001-20</v>
      </c>
    </row>
    <row r="6" spans="1:22" x14ac:dyDescent="0.25">
      <c r="A6" s="6" t="s">
        <v>279</v>
      </c>
      <c r="B6" s="7">
        <v>10</v>
      </c>
      <c r="C6" s="8">
        <v>46186</v>
      </c>
      <c r="D6" s="6" t="s">
        <v>249</v>
      </c>
      <c r="E6" s="7">
        <v>10</v>
      </c>
      <c r="F6" s="20" t="str">
        <f>D6&amp;"-"&amp;E6</f>
        <v>GR-2026-0002-10</v>
      </c>
      <c r="G6" s="9" t="str">
        <f>INDEX('05_Goods_Receipt'!$H:$H,MATCH(F6,'05_Goods_Receipt'!$Z:$Z,0))</f>
        <v>MAT-00003</v>
      </c>
      <c r="H6" s="9" t="str">
        <f>INDEX('01_Master_Material'!$B:$B,MATCH(G6,'01_Master_Material'!$A:$A,0))</f>
        <v>Engine Oil Filter (Cat 320D)</v>
      </c>
      <c r="I6" s="14">
        <f>INDEX('05_Goods_Receipt'!$N:$N,MATCH(F6,'05_Goods_Receipt'!$Z:$Z,0))</f>
        <v>6</v>
      </c>
      <c r="J6" s="10" t="e">
        <f>INDEX('05_Goods_Receipt'!$L:$L,MATCH(F6,'05_Goods_Receipt'!$Z:$Z,0))</f>
        <v>#REF!</v>
      </c>
      <c r="K6" s="14" t="e">
        <f>INDEX('01_Master_Material'!#REF!,MATCH(G6,'01_Master_Material'!$A:$A,0))</f>
        <v>#REF!</v>
      </c>
      <c r="L6" s="22" t="e">
        <f>I6*K6</f>
        <v>#REF!</v>
      </c>
      <c r="M6" s="10" t="str">
        <f>INDEX('01_Master_Material'!$D:$D,MATCH(G6,'01_Master_Material'!$A:$A,0))</f>
        <v>PCS</v>
      </c>
      <c r="N6" s="9" t="str">
        <f>INDEX('01_Master_Material'!$I:$I,MATCH(G6,'01_Master_Material'!$A:$A,0))</f>
        <v>Standard</v>
      </c>
      <c r="O6" s="6" t="s">
        <v>170</v>
      </c>
      <c r="P6" s="9" t="str">
        <f>INDEX('03_Master_Location'!$D:$D,MATCH(O6,'03_Master_Location'!$A:$A,0))</f>
        <v>Standard</v>
      </c>
      <c r="Q6" s="19" t="str">
        <f>IF(N6=P6,"Match","Mismatch - Review")</f>
        <v>Match</v>
      </c>
      <c r="R6" s="19" t="str">
        <f>IF(Q6="Match","Completed","Exception - Needs Review")</f>
        <v>Completed</v>
      </c>
      <c r="S6" s="23">
        <f>INDEX('05_Goods_Receipt'!$C:$C,MATCH(F6,'05_Goods_Receipt'!$Z:$Z,0))</f>
        <v>46184</v>
      </c>
      <c r="T6" s="22">
        <f>C6-S6</f>
        <v>2</v>
      </c>
      <c r="U6" s="6"/>
      <c r="V6" s="20" t="str">
        <f>A6&amp;"-"&amp;B6</f>
        <v>PA-2026-0002-10</v>
      </c>
    </row>
    <row r="7" spans="1:22" x14ac:dyDescent="0.25">
      <c r="A7" s="6" t="s">
        <v>280</v>
      </c>
      <c r="B7" s="7">
        <v>10</v>
      </c>
      <c r="C7" s="8">
        <v>46199</v>
      </c>
      <c r="D7" s="6" t="s">
        <v>252</v>
      </c>
      <c r="E7" s="7">
        <v>10</v>
      </c>
      <c r="F7" s="20" t="str">
        <f>D7&amp;"-"&amp;E7</f>
        <v>GR-2026-0003-10</v>
      </c>
      <c r="G7" s="9" t="str">
        <f>INDEX('05_Goods_Receipt'!$H:$H,MATCH(F7,'05_Goods_Receipt'!$Z:$Z,0))</f>
        <v>MAT-00004</v>
      </c>
      <c r="H7" s="9" t="str">
        <f>INDEX('01_Master_Material'!$B:$B,MATCH(G7,'01_Master_Material'!$A:$A,0))</f>
        <v>Hex Bolt M12x50 Grade 8.8</v>
      </c>
      <c r="I7" s="14">
        <f>INDEX('05_Goods_Receipt'!$N:$N,MATCH(F7,'05_Goods_Receipt'!$Z:$Z,0))</f>
        <v>50</v>
      </c>
      <c r="J7" s="10" t="e">
        <f>INDEX('05_Goods_Receipt'!$L:$L,MATCH(F7,'05_Goods_Receipt'!$Z:$Z,0))</f>
        <v>#REF!</v>
      </c>
      <c r="K7" s="14" t="e">
        <f>INDEX('01_Master_Material'!#REF!,MATCH(G7,'01_Master_Material'!$A:$A,0))</f>
        <v>#REF!</v>
      </c>
      <c r="L7" s="22" t="e">
        <f>I7*K7</f>
        <v>#REF!</v>
      </c>
      <c r="M7" s="10" t="str">
        <f>INDEX('01_Master_Material'!$D:$D,MATCH(G7,'01_Master_Material'!$A:$A,0))</f>
        <v>PCS</v>
      </c>
      <c r="N7" s="9" t="str">
        <f>INDEX('01_Master_Material'!$I:$I,MATCH(G7,'01_Master_Material'!$A:$A,0))</f>
        <v>Standard</v>
      </c>
      <c r="O7" s="6" t="s">
        <v>172</v>
      </c>
      <c r="P7" s="9" t="str">
        <f>INDEX('03_Master_Location'!$D:$D,MATCH(O7,'03_Master_Location'!$A:$A,0))</f>
        <v>Hazardous</v>
      </c>
      <c r="Q7" s="19" t="str">
        <f>IF(N7=P7,"Match","Mismatch - Review")</f>
        <v>Mismatch - Review</v>
      </c>
      <c r="R7" s="19" t="str">
        <f>IF(Q7="Match","Completed","Exception - Needs Review")</f>
        <v>Exception - Needs Review</v>
      </c>
      <c r="S7" s="23">
        <f>INDEX('05_Goods_Receipt'!$C:$C,MATCH(F7,'05_Goods_Receipt'!$Z:$Z,0))</f>
        <v>46197</v>
      </c>
      <c r="T7" s="22">
        <f>C7-S7</f>
        <v>2</v>
      </c>
      <c r="U7" s="6" t="s">
        <v>281</v>
      </c>
      <c r="V7" s="20" t="str">
        <f>A7&amp;"-"&amp;B7</f>
        <v>PA-2026-0003-10</v>
      </c>
    </row>
    <row r="8" spans="1:22" x14ac:dyDescent="0.25">
      <c r="A8" s="6" t="s">
        <v>282</v>
      </c>
      <c r="B8" s="7">
        <v>10</v>
      </c>
      <c r="C8" s="8">
        <v>46202</v>
      </c>
      <c r="D8" s="6" t="s">
        <v>253</v>
      </c>
      <c r="E8" s="7">
        <v>10</v>
      </c>
      <c r="F8" s="20" t="str">
        <f>D8&amp;"-"&amp;E8</f>
        <v>GR-2026-0004-10</v>
      </c>
      <c r="G8" s="9" t="str">
        <f>INDEX('05_Goods_Receipt'!$H:$H,MATCH(F8,'05_Goods_Receipt'!$Z:$Z,0))</f>
        <v>MAT-00014</v>
      </c>
      <c r="H8" s="9" t="str">
        <f>INDEX('01_Master_Material'!$B:$B,MATCH(G8,'01_Master_Material'!$A:$A,0))</f>
        <v>Flat Washer M12 Zinc Plated</v>
      </c>
      <c r="I8" s="14">
        <f>INDEX('05_Goods_Receipt'!$N:$N,MATCH(F8,'05_Goods_Receipt'!$Z:$Z,0))</f>
        <v>40</v>
      </c>
      <c r="J8" s="10" t="e">
        <f>INDEX('05_Goods_Receipt'!$L:$L,MATCH(F8,'05_Goods_Receipt'!$Z:$Z,0))</f>
        <v>#REF!</v>
      </c>
      <c r="K8" s="14" t="e">
        <f>INDEX('01_Master_Material'!#REF!,MATCH(G8,'01_Master_Material'!$A:$A,0))</f>
        <v>#REF!</v>
      </c>
      <c r="L8" s="22" t="e">
        <f>I8*K8</f>
        <v>#REF!</v>
      </c>
      <c r="M8" s="10" t="str">
        <f>INDEX('01_Master_Material'!$D:$D,MATCH(G8,'01_Master_Material'!$A:$A,0))</f>
        <v>PCS</v>
      </c>
      <c r="N8" s="9" t="str">
        <f>INDEX('01_Master_Material'!$I:$I,MATCH(G8,'01_Master_Material'!$A:$A,0))</f>
        <v>Standard</v>
      </c>
      <c r="O8" s="6" t="s">
        <v>170</v>
      </c>
      <c r="P8" s="9" t="str">
        <f>INDEX('03_Master_Location'!$D:$D,MATCH(O8,'03_Master_Location'!$A:$A,0))</f>
        <v>Standard</v>
      </c>
      <c r="Q8" s="19" t="str">
        <f>IF(N8=P8,"Match","Mismatch - Review")</f>
        <v>Match</v>
      </c>
      <c r="R8" s="19" t="str">
        <f>IF(Q8="Match","Completed","Exception - Needs Review")</f>
        <v>Completed</v>
      </c>
      <c r="S8" s="23">
        <f>INDEX('05_Goods_Receipt'!$C:$C,MATCH(F8,'05_Goods_Receipt'!$Z:$Z,0))</f>
        <v>46199</v>
      </c>
      <c r="T8" s="22">
        <f>C8-S8</f>
        <v>3</v>
      </c>
      <c r="U8" s="6"/>
      <c r="V8" s="20" t="str">
        <f>A8&amp;"-"&amp;B8</f>
        <v>PA-2026-0004-10</v>
      </c>
    </row>
    <row r="11" spans="1:22" x14ac:dyDescent="0.25">
      <c r="A11" s="4" t="s">
        <v>71</v>
      </c>
    </row>
    <row r="12" spans="1:22" x14ac:dyDescent="0.25">
      <c r="A12" s="5" t="s">
        <v>283</v>
      </c>
    </row>
    <row r="13" spans="1:22" x14ac:dyDescent="0.25">
      <c r="A13" s="5" t="s">
        <v>284</v>
      </c>
    </row>
    <row r="14" spans="1:22" x14ac:dyDescent="0.25">
      <c r="A14" s="5" t="s">
        <v>285</v>
      </c>
    </row>
    <row r="15" spans="1:22" x14ac:dyDescent="0.25">
      <c r="A15" s="5" t="s">
        <v>286</v>
      </c>
    </row>
    <row r="16" spans="1:22" x14ac:dyDescent="0.25">
      <c r="A16" s="5" t="s">
        <v>287</v>
      </c>
    </row>
    <row r="17" spans="1:1" x14ac:dyDescent="0.25">
      <c r="A17" s="5" t="s">
        <v>288</v>
      </c>
    </row>
  </sheetData>
  <mergeCells count="1">
    <mergeCell ref="A1:V1"/>
  </mergeCells>
  <conditionalFormatting sqref="Q4:Q500">
    <cfRule type="expression" dxfId="28" priority="2">
      <formula>$Q4="Mismatch - Review"</formula>
    </cfRule>
  </conditionalFormatting>
  <conditionalFormatting sqref="R4:R500">
    <cfRule type="expression" dxfId="27" priority="3">
      <formula>$R4="Exception - Needs Review"</formula>
    </cfRule>
    <cfRule type="expression" dxfId="26" priority="4">
      <formula>$R4="Completed"</formula>
    </cfRule>
  </conditionalFormatting>
  <conditionalFormatting sqref="T4:T500">
    <cfRule type="expression" dxfId="25" priority="5">
      <formula>$T4&gt;2</formula>
    </cfRule>
  </conditionalFormatting>
  <dataValidations count="1">
    <dataValidation type="list" showInputMessage="1" showErrorMessage="1" errorTitle="Invalid entry" error="Please select a value from the list." promptTitle="Putaway Location" prompt="Select an active, pickable storage location." sqref="O4:O500" xr:uid="{00000000-0002-0000-0500-000002000000}">
      <formula1>"BLK-A-01,BLK-A-02,RCK-B-01-01,RCK-B-01-02,RCK-B-02-01,HAZ-C-01"</formula1>
      <formula2>0</formula2>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errorTitle="Invalid entry" error="Please select a value from the list." promptTitle="GR Number" prompt="Select the GR Number this put-away is against." xr:uid="{00000000-0002-0000-0500-000000000000}">
          <x14:formula1>
            <xm:f>'05_Goods_Receipt'!$A$4:$A$8</xm:f>
          </x14:formula1>
          <x14:formula2>
            <xm:f>0</xm:f>
          </x14:formula2>
          <xm:sqref>D4:D500</xm:sqref>
        </x14:dataValidation>
        <x14:dataValidation type="list" showInputMessage="1" showErrorMessage="1" errorTitle="Invalid entry" error="Please select a value from the list." promptTitle="GR Line" prompt="Select the GR Line this put-away is against." xr:uid="{00000000-0002-0000-0500-000001000000}">
          <x14:formula1>
            <xm:f>'05_Goods_Receipt'!$B$4:$B$8</xm:f>
          </x14:formula1>
          <x14:formula2>
            <xm:f>0</xm:f>
          </x14:formula2>
          <xm:sqref>E4:E500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8"/>
  <sheetViews>
    <sheetView showGridLines="0" topLeftCell="F1" zoomScaleNormal="100" workbookViewId="0">
      <pane ySplit="3" topLeftCell="A4" activePane="bottomLeft" state="frozen"/>
      <selection pane="bottomLeft" activeCell="Q6" sqref="Q6"/>
    </sheetView>
  </sheetViews>
  <sheetFormatPr defaultColWidth="8.7109375" defaultRowHeight="15" x14ac:dyDescent="0.25"/>
  <cols>
    <col min="1" max="1" width="16" customWidth="1"/>
    <col min="2" max="2" width="10" customWidth="1"/>
    <col min="3" max="3" width="12" customWidth="1"/>
    <col min="4" max="4" width="18" customWidth="1"/>
    <col min="5" max="5" width="14" customWidth="1"/>
    <col min="6" max="6" width="30" customWidth="1"/>
    <col min="7" max="7" width="12" customWidth="1"/>
    <col min="8" max="8" width="14" customWidth="1"/>
    <col min="9" max="9" width="12" customWidth="1"/>
    <col min="10" max="10" width="14" customWidth="1"/>
    <col min="11" max="11" width="16" customWidth="1"/>
    <col min="12" max="12" width="14" customWidth="1"/>
    <col min="13" max="13" width="18" customWidth="1"/>
    <col min="14" max="14" width="20" customWidth="1"/>
    <col min="15" max="15" width="12" customWidth="1"/>
    <col min="16" max="16" width="34" customWidth="1"/>
    <col min="17" max="17" width="16" customWidth="1"/>
  </cols>
  <sheetData>
    <row r="1" spans="1:17" ht="24" customHeight="1" x14ac:dyDescent="0.25">
      <c r="A1" s="40" t="s">
        <v>289</v>
      </c>
      <c r="B1" s="40"/>
      <c r="C1" s="40"/>
      <c r="D1" s="40"/>
      <c r="E1" s="40"/>
      <c r="F1" s="40"/>
      <c r="G1" s="40"/>
      <c r="H1" s="40"/>
      <c r="I1" s="40"/>
      <c r="J1" s="40"/>
      <c r="K1" s="40"/>
      <c r="L1" s="40"/>
      <c r="M1" s="40"/>
      <c r="N1" s="40"/>
      <c r="O1" s="40"/>
      <c r="P1" s="40"/>
    </row>
    <row r="3" spans="1:17" ht="31.5" customHeight="1" x14ac:dyDescent="0.25">
      <c r="A3" s="1" t="s">
        <v>290</v>
      </c>
      <c r="B3" s="1" t="s">
        <v>291</v>
      </c>
      <c r="C3" s="1" t="s">
        <v>292</v>
      </c>
      <c r="D3" s="1" t="s">
        <v>293</v>
      </c>
      <c r="E3" s="1" t="s">
        <v>1</v>
      </c>
      <c r="F3" s="1" t="s">
        <v>2</v>
      </c>
      <c r="G3" s="1" t="s">
        <v>269</v>
      </c>
      <c r="H3" s="1" t="s">
        <v>294</v>
      </c>
      <c r="I3" s="1" t="s">
        <v>295</v>
      </c>
      <c r="J3" s="1" t="s">
        <v>296</v>
      </c>
      <c r="K3" s="1" t="s">
        <v>297</v>
      </c>
      <c r="L3" s="1" t="s">
        <v>298</v>
      </c>
      <c r="M3" s="1" t="s">
        <v>299</v>
      </c>
      <c r="N3" s="1" t="s">
        <v>300</v>
      </c>
      <c r="O3" s="1" t="s">
        <v>301</v>
      </c>
      <c r="P3" s="1" t="s">
        <v>204</v>
      </c>
      <c r="Q3" s="1" t="s">
        <v>302</v>
      </c>
    </row>
    <row r="4" spans="1:17" x14ac:dyDescent="0.25">
      <c r="A4" s="6" t="s">
        <v>303</v>
      </c>
      <c r="B4" s="7">
        <v>10</v>
      </c>
      <c r="C4" s="8">
        <v>46189</v>
      </c>
      <c r="D4" s="6" t="s">
        <v>304</v>
      </c>
      <c r="E4" s="6" t="s">
        <v>14</v>
      </c>
      <c r="F4" s="9" t="str">
        <f>INDEX('01_Master_Material'!$B:$B,MATCH(E4,'01_Master_Material'!$A:$A,0))</f>
        <v>Hydraulic Cylinder Seal Kit 80mm</v>
      </c>
      <c r="G4" s="10" t="str">
        <f>INDEX('01_Master_Material'!$D:$D,MATCH(E4,'01_Master_Material'!$A:$A,0))</f>
        <v>PCS</v>
      </c>
      <c r="H4" s="11">
        <v>4</v>
      </c>
      <c r="I4" s="17" t="s">
        <v>305</v>
      </c>
      <c r="J4" s="8">
        <v>46191</v>
      </c>
      <c r="K4" s="14" t="e">
        <f>SUMIF('06_Put_Away'!$G:$G,E4,'06_Put_Away'!$L:$L)</f>
        <v>#REF!</v>
      </c>
      <c r="L4" s="14">
        <f>SUMIF('09_Goods_Issue'!$G:$G,E4,'09_Goods_Issue'!$M:$M)</f>
        <v>4</v>
      </c>
      <c r="M4" s="22" t="e">
        <f>K4-L4</f>
        <v>#REF!</v>
      </c>
      <c r="N4" s="19" t="e">
        <f>IF(M4&gt;=H4,"Sufficient","Insufficient - Review")</f>
        <v>#REF!</v>
      </c>
      <c r="O4" s="17" t="s">
        <v>306</v>
      </c>
      <c r="P4" s="6"/>
      <c r="Q4" s="20" t="str">
        <f>A4&amp;"-"&amp;B4</f>
        <v>MR-2026-0001-10</v>
      </c>
    </row>
    <row r="5" spans="1:17" x14ac:dyDescent="0.25">
      <c r="A5" s="6" t="s">
        <v>303</v>
      </c>
      <c r="B5" s="7">
        <v>20</v>
      </c>
      <c r="C5" s="8">
        <v>46189</v>
      </c>
      <c r="D5" s="6" t="s">
        <v>304</v>
      </c>
      <c r="E5" s="6" t="s">
        <v>42</v>
      </c>
      <c r="F5" s="9" t="str">
        <f>INDEX('01_Master_Material'!$B:$B,MATCH(E5,'01_Master_Material'!$A:$A,0))</f>
        <v>Hydraulic Hose 1/2in x 3m</v>
      </c>
      <c r="G5" s="10" t="str">
        <f>INDEX('01_Master_Material'!$D:$D,MATCH(E5,'01_Master_Material'!$A:$A,0))</f>
        <v>PCS</v>
      </c>
      <c r="H5" s="11">
        <v>20</v>
      </c>
      <c r="I5" s="17" t="s">
        <v>305</v>
      </c>
      <c r="J5" s="8">
        <v>46191</v>
      </c>
      <c r="K5" s="14" t="e">
        <f>SUMIF('06_Put_Away'!$G:$G,E5,'06_Put_Away'!$L:$L)</f>
        <v>#REF!</v>
      </c>
      <c r="L5" s="14">
        <f>SUMIF('09_Goods_Issue'!$G:$G,E5,'09_Goods_Issue'!$M:$M)</f>
        <v>19</v>
      </c>
      <c r="M5" s="22" t="e">
        <f>K5-L5</f>
        <v>#REF!</v>
      </c>
      <c r="N5" s="19" t="e">
        <f>IF(M5&gt;=H5,"Sufficient","Insufficient - Review")</f>
        <v>#REF!</v>
      </c>
      <c r="O5" s="17" t="s">
        <v>306</v>
      </c>
      <c r="P5" s="6"/>
      <c r="Q5" s="20" t="str">
        <f>A5&amp;"-"&amp;B5</f>
        <v>MR-2026-0001-20</v>
      </c>
    </row>
    <row r="6" spans="1:17" x14ac:dyDescent="0.25">
      <c r="A6" s="6" t="s">
        <v>307</v>
      </c>
      <c r="B6" s="7">
        <v>10</v>
      </c>
      <c r="C6" s="8">
        <v>46187</v>
      </c>
      <c r="D6" s="6" t="s">
        <v>308</v>
      </c>
      <c r="E6" s="6" t="s">
        <v>26</v>
      </c>
      <c r="F6" s="9" t="str">
        <f>INDEX('01_Master_Material'!$B:$B,MATCH(E6,'01_Master_Material'!$A:$A,0))</f>
        <v>Engine Oil Filter (Cat 320D)</v>
      </c>
      <c r="G6" s="10" t="str">
        <f>INDEX('01_Master_Material'!$D:$D,MATCH(E6,'01_Master_Material'!$A:$A,0))</f>
        <v>PCS</v>
      </c>
      <c r="H6" s="11">
        <v>100</v>
      </c>
      <c r="I6" s="17" t="s">
        <v>208</v>
      </c>
      <c r="J6" s="8">
        <v>46188</v>
      </c>
      <c r="K6" s="14" t="e">
        <f>SUMIF('06_Put_Away'!$G:$G,E6,'06_Put_Away'!$L:$L)</f>
        <v>#REF!</v>
      </c>
      <c r="L6" s="14">
        <f>SUMIF('09_Goods_Issue'!$G:$G,E6,'09_Goods_Issue'!$M:$M)</f>
        <v>100</v>
      </c>
      <c r="M6" s="22" t="e">
        <f>K6-L6</f>
        <v>#REF!</v>
      </c>
      <c r="N6" s="19" t="e">
        <f>IF(M6&gt;=H6,"Sufficient","Insufficient - Review")</f>
        <v>#REF!</v>
      </c>
      <c r="O6" s="17" t="s">
        <v>306</v>
      </c>
      <c r="P6" s="6" t="s">
        <v>309</v>
      </c>
      <c r="Q6" s="20" t="str">
        <f>A6&amp;"-"&amp;B6</f>
        <v>MR-2026-0002-10</v>
      </c>
    </row>
    <row r="7" spans="1:17" x14ac:dyDescent="0.25">
      <c r="A7" s="6" t="s">
        <v>310</v>
      </c>
      <c r="B7" s="7">
        <v>10</v>
      </c>
      <c r="C7" s="8">
        <v>46200</v>
      </c>
      <c r="D7" s="6" t="s">
        <v>304</v>
      </c>
      <c r="E7" s="6" t="s">
        <v>29</v>
      </c>
      <c r="F7" s="9" t="str">
        <f>INDEX('01_Master_Material'!$B:$B,MATCH(E7,'01_Master_Material'!$A:$A,0))</f>
        <v>Hex Bolt M12x50 Grade 8.8</v>
      </c>
      <c r="G7" s="10" t="str">
        <f>INDEX('01_Master_Material'!$D:$D,MATCH(E7,'01_Master_Material'!$A:$A,0))</f>
        <v>PCS</v>
      </c>
      <c r="H7" s="11">
        <v>3000</v>
      </c>
      <c r="I7" s="17" t="s">
        <v>305</v>
      </c>
      <c r="J7" s="8">
        <v>46203</v>
      </c>
      <c r="K7" s="14" t="e">
        <f>SUMIF('06_Put_Away'!$G:$G,E7,'06_Put_Away'!$L:$L)</f>
        <v>#REF!</v>
      </c>
      <c r="L7" s="14">
        <f>SUMIF('09_Goods_Issue'!$G:$G,E7,'09_Goods_Issue'!$M:$M)</f>
        <v>3000</v>
      </c>
      <c r="M7" s="22" t="e">
        <f>K7-L7</f>
        <v>#REF!</v>
      </c>
      <c r="N7" s="19" t="e">
        <f>IF(M7&gt;=H7,"Sufficient","Insufficient - Review")</f>
        <v>#REF!</v>
      </c>
      <c r="O7" s="17" t="s">
        <v>306</v>
      </c>
      <c r="P7" s="6"/>
      <c r="Q7" s="20" t="str">
        <f>A7&amp;"-"&amp;B7</f>
        <v>MR-2026-0003-10</v>
      </c>
    </row>
    <row r="8" spans="1:17" x14ac:dyDescent="0.25">
      <c r="A8" s="6" t="s">
        <v>311</v>
      </c>
      <c r="B8" s="7">
        <v>10</v>
      </c>
      <c r="C8" s="8">
        <v>46203</v>
      </c>
      <c r="D8" s="6" t="s">
        <v>304</v>
      </c>
      <c r="E8" s="6" t="s">
        <v>56</v>
      </c>
      <c r="F8" s="9" t="str">
        <f>INDEX('01_Master_Material'!$B:$B,MATCH(E8,'01_Master_Material'!$A:$A,0))</f>
        <v>Flat Washer M12 Zinc Plated</v>
      </c>
      <c r="G8" s="10" t="str">
        <f>INDEX('01_Master_Material'!$D:$D,MATCH(E8,'01_Master_Material'!$A:$A,0))</f>
        <v>PCS</v>
      </c>
      <c r="H8" s="11">
        <v>9000</v>
      </c>
      <c r="I8" s="17" t="s">
        <v>305</v>
      </c>
      <c r="J8" s="8">
        <v>46205</v>
      </c>
      <c r="K8" s="14" t="e">
        <f>SUMIF('06_Put_Away'!$G:$G,E8,'06_Put_Away'!$L:$L)</f>
        <v>#REF!</v>
      </c>
      <c r="L8" s="14">
        <f>SUMIF('09_Goods_Issue'!$G:$G,E8,'09_Goods_Issue'!$M:$M)</f>
        <v>8000</v>
      </c>
      <c r="M8" s="22" t="e">
        <f>K8-L8</f>
        <v>#REF!</v>
      </c>
      <c r="N8" s="19" t="e">
        <f>IF(M8&gt;=H8,"Sufficient","Insufficient - Review")</f>
        <v>#REF!</v>
      </c>
      <c r="O8" s="17" t="s">
        <v>306</v>
      </c>
      <c r="P8" s="6" t="s">
        <v>312</v>
      </c>
      <c r="Q8" s="20" t="str">
        <f>A8&amp;"-"&amp;B8</f>
        <v>MR-2026-0004-10</v>
      </c>
    </row>
    <row r="11" spans="1:17" x14ac:dyDescent="0.25">
      <c r="A11" s="4" t="s">
        <v>71</v>
      </c>
    </row>
    <row r="12" spans="1:17" x14ac:dyDescent="0.25">
      <c r="A12" s="5" t="s">
        <v>313</v>
      </c>
    </row>
    <row r="13" spans="1:17" x14ac:dyDescent="0.25">
      <c r="A13" s="5" t="s">
        <v>314</v>
      </c>
    </row>
    <row r="14" spans="1:17" x14ac:dyDescent="0.25">
      <c r="A14" s="5" t="s">
        <v>315</v>
      </c>
    </row>
    <row r="15" spans="1:17" x14ac:dyDescent="0.25">
      <c r="A15" s="5" t="s">
        <v>316</v>
      </c>
    </row>
    <row r="16" spans="1:17" x14ac:dyDescent="0.25">
      <c r="A16" s="5" t="s">
        <v>317</v>
      </c>
    </row>
    <row r="17" spans="1:1" x14ac:dyDescent="0.25">
      <c r="A17" s="5" t="s">
        <v>318</v>
      </c>
    </row>
    <row r="18" spans="1:1" x14ac:dyDescent="0.25">
      <c r="A18" s="5" t="s">
        <v>319</v>
      </c>
    </row>
  </sheetData>
  <mergeCells count="1">
    <mergeCell ref="A1:P1"/>
  </mergeCells>
  <conditionalFormatting sqref="I4:I500">
    <cfRule type="expression" dxfId="24" priority="2">
      <formula>$I4="Urgent"</formula>
    </cfRule>
  </conditionalFormatting>
  <conditionalFormatting sqref="N4:N500">
    <cfRule type="expression" dxfId="23" priority="3">
      <formula>$N4="Insufficient - Review"</formula>
    </cfRule>
    <cfRule type="expression" dxfId="22" priority="4">
      <formula>$N4="Sufficient"</formula>
    </cfRule>
  </conditionalFormatting>
  <dataValidations count="3">
    <dataValidation type="list" showInputMessage="1" showErrorMessage="1" errorTitle="Invalid entry" error="Please select a value from the list." promptTitle="Requesting Department" prompt="Select the requesting department." sqref="D4:D500" xr:uid="{00000000-0002-0000-0600-000001000000}">
      <formula1>"Production,Maintenance,QC"</formula1>
      <formula2>0</formula2>
    </dataValidation>
    <dataValidation type="list" showInputMessage="1" showErrorMessage="1" errorTitle="Invalid entry" error="Please select a value from the list." promptTitle="Request Priority" prompt="Routine or Urgent (machine-down) request." sqref="I4:I500" xr:uid="{00000000-0002-0000-0600-000002000000}">
      <formula1>"Routine,Urgent"</formula1>
      <formula2>0</formula2>
    </dataValidation>
    <dataValidation type="list" showInputMessage="1" showErrorMessage="1" errorTitle="Invalid entry" error="Please select a value from the list." promptTitle="Request Status" prompt="Current status of this request line." sqref="O4:O500" xr:uid="{00000000-0002-0000-0600-000003000000}">
      <formula1>"Open,Approved,Rejected,Fulfilled"</formula1>
      <formula2>0</formula2>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errorTitle="Invalid entry" error="Please select a value from the list." promptTitle="Material Code" prompt="Select a valid material code from the master." xr:uid="{00000000-0002-0000-0600-000000000000}">
          <x14:formula1>
            <xm:f>'01_Master_Material'!$A$4:$A$23</xm:f>
          </x14:formula1>
          <x14:formula2>
            <xm:f>0</xm:f>
          </x14:formula2>
          <xm:sqref>E4:E500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8"/>
  <sheetViews>
    <sheetView showGridLines="0" zoomScaleNormal="100" workbookViewId="0">
      <pane ySplit="3" topLeftCell="A4" activePane="bottomLeft" state="frozen"/>
      <selection pane="bottomLeft" activeCell="S7" sqref="S7"/>
    </sheetView>
  </sheetViews>
  <sheetFormatPr defaultColWidth="8.7109375" defaultRowHeight="15" x14ac:dyDescent="0.25"/>
  <cols>
    <col min="1" max="1" width="14" customWidth="1"/>
    <col min="2" max="2" width="8" customWidth="1"/>
    <col min="3" max="3" width="12" customWidth="1"/>
    <col min="4" max="4" width="14" customWidth="1"/>
    <col min="5" max="5" width="8" customWidth="1"/>
    <col min="6" max="6" width="16" customWidth="1"/>
    <col min="7" max="7" width="12" customWidth="1"/>
    <col min="8" max="8" width="30" customWidth="1"/>
    <col min="9" max="9" width="18" customWidth="1"/>
    <col min="10" max="10" width="14" customWidth="1"/>
    <col min="11" max="11" width="16" customWidth="1"/>
    <col min="12" max="12" width="14" customWidth="1"/>
    <col min="13" max="13" width="18" customWidth="1"/>
    <col min="14" max="14" width="16" customWidth="1"/>
    <col min="15" max="15" width="17.140625" customWidth="1"/>
    <col min="16" max="16" width="12" customWidth="1"/>
    <col min="17" max="18" width="16" customWidth="1"/>
    <col min="19" max="19" width="40" customWidth="1"/>
    <col min="20" max="20" width="14" customWidth="1"/>
  </cols>
  <sheetData>
    <row r="1" spans="1:20" ht="24" customHeight="1" x14ac:dyDescent="0.25">
      <c r="A1" s="40" t="s">
        <v>320</v>
      </c>
      <c r="B1" s="40"/>
      <c r="C1" s="40"/>
      <c r="D1" s="40"/>
      <c r="E1" s="40"/>
      <c r="F1" s="40"/>
      <c r="G1" s="40"/>
      <c r="H1" s="40"/>
      <c r="I1" s="40"/>
      <c r="J1" s="40"/>
      <c r="K1" s="40"/>
      <c r="L1" s="40"/>
      <c r="M1" s="40"/>
      <c r="N1" s="40"/>
      <c r="O1" s="40"/>
      <c r="P1" s="40"/>
      <c r="Q1" s="40"/>
      <c r="R1" s="40"/>
      <c r="S1" s="40"/>
    </row>
    <row r="3" spans="1:20" ht="31.5" customHeight="1" x14ac:dyDescent="0.25">
      <c r="A3" s="1" t="s">
        <v>321</v>
      </c>
      <c r="B3" s="1" t="s">
        <v>322</v>
      </c>
      <c r="C3" s="1" t="s">
        <v>323</v>
      </c>
      <c r="D3" s="1" t="s">
        <v>290</v>
      </c>
      <c r="E3" s="1" t="s">
        <v>291</v>
      </c>
      <c r="F3" s="1" t="s">
        <v>302</v>
      </c>
      <c r="G3" s="1" t="s">
        <v>1</v>
      </c>
      <c r="H3" s="1" t="s">
        <v>2</v>
      </c>
      <c r="I3" s="1" t="s">
        <v>324</v>
      </c>
      <c r="J3" s="1" t="s">
        <v>325</v>
      </c>
      <c r="K3" s="1" t="s">
        <v>326</v>
      </c>
      <c r="L3" s="1" t="s">
        <v>327</v>
      </c>
      <c r="M3" s="1" t="s">
        <v>328</v>
      </c>
      <c r="N3" s="1" t="s">
        <v>299</v>
      </c>
      <c r="O3" s="1" t="s">
        <v>329</v>
      </c>
      <c r="P3" s="1" t="s">
        <v>330</v>
      </c>
      <c r="Q3" s="1" t="s">
        <v>331</v>
      </c>
      <c r="R3" s="1" t="s">
        <v>332</v>
      </c>
      <c r="S3" s="1" t="s">
        <v>204</v>
      </c>
      <c r="T3" s="1" t="s">
        <v>333</v>
      </c>
    </row>
    <row r="4" spans="1:20" x14ac:dyDescent="0.25">
      <c r="A4" s="6" t="s">
        <v>334</v>
      </c>
      <c r="B4" s="7">
        <v>10</v>
      </c>
      <c r="C4" s="8">
        <v>46190</v>
      </c>
      <c r="D4" s="6" t="s">
        <v>303</v>
      </c>
      <c r="E4" s="7">
        <v>10</v>
      </c>
      <c r="F4" s="20" t="str">
        <f>D4&amp;"-"&amp;E4</f>
        <v>MR-2026-0001-10</v>
      </c>
      <c r="G4" s="9" t="str">
        <f>INDEX('07_Material_Request'!$E:$E,MATCH(F4,'07_Material_Request'!$Q:$Q,0))</f>
        <v>MAT-00001</v>
      </c>
      <c r="H4" s="9" t="str">
        <f>INDEX('01_Master_Material'!$B:$B,MATCH(G4,'01_Master_Material'!$A:$A,0))</f>
        <v>Hydraulic Cylinder Seal Kit 80mm</v>
      </c>
      <c r="I4" s="9" t="str">
        <f>INDEX('07_Material_Request'!$D:$D,MATCH(F4,'07_Material_Request'!$Q:$Q,0))</f>
        <v>Production</v>
      </c>
      <c r="J4" s="10" t="str">
        <f>INDEX('07_Material_Request'!$I:$I,MATCH(F4,'07_Material_Request'!$Q:$Q,0))</f>
        <v>Routine</v>
      </c>
      <c r="K4" s="14">
        <f>INDEX('07_Material_Request'!$H:$H,MATCH(F4,'07_Material_Request'!$Q:$Q,0))</f>
        <v>4</v>
      </c>
      <c r="L4" s="9" t="str">
        <f>INDEX('06_Put_Away'!$O:$O,MATCH(G4,'06_Put_Away'!$G:$G,0))</f>
        <v>RCK-B-01-01</v>
      </c>
      <c r="M4" s="10" t="str">
        <f>INDEX('03_Master_Location'!$E:$E,MATCH(L4,'03_Master_Location'!$A:$A,0))</f>
        <v>Yes</v>
      </c>
      <c r="N4" s="22" t="e">
        <f>SUMIF('06_Put_Away'!$G:$G,G4,'06_Put_Away'!$L:$L)-SUMIF('09_Goods_Issue'!$G:$G,G4,'09_Goods_Issue'!$M:$M)</f>
        <v>#REF!</v>
      </c>
      <c r="O4" s="22" t="e">
        <f>MIN(K4,N4)</f>
        <v>#REF!</v>
      </c>
      <c r="P4" s="11">
        <v>4</v>
      </c>
      <c r="Q4" s="19" t="str">
        <f>IF(P4=0,"Not Picked",IF(P4&lt;K4,"Partially Picked","Fully Picked"))</f>
        <v>Fully Picked</v>
      </c>
      <c r="R4" s="6" t="s">
        <v>244</v>
      </c>
      <c r="S4" s="6"/>
      <c r="T4" s="20" t="str">
        <f>A4&amp;"-"&amp;B4</f>
        <v>PL-2026-0001-10</v>
      </c>
    </row>
    <row r="5" spans="1:20" x14ac:dyDescent="0.25">
      <c r="A5" s="6" t="s">
        <v>334</v>
      </c>
      <c r="B5" s="7">
        <v>20</v>
      </c>
      <c r="C5" s="8">
        <v>46190</v>
      </c>
      <c r="D5" s="6" t="s">
        <v>303</v>
      </c>
      <c r="E5" s="7">
        <v>20</v>
      </c>
      <c r="F5" s="20" t="str">
        <f>D5&amp;"-"&amp;E5</f>
        <v>MR-2026-0001-20</v>
      </c>
      <c r="G5" s="9" t="str">
        <f>INDEX('07_Material_Request'!$E:$E,MATCH(F5,'07_Material_Request'!$Q:$Q,0))</f>
        <v>MAT-00008</v>
      </c>
      <c r="H5" s="9" t="str">
        <f>INDEX('01_Master_Material'!$B:$B,MATCH(G5,'01_Master_Material'!$A:$A,0))</f>
        <v>Hydraulic Hose 1/2in x 3m</v>
      </c>
      <c r="I5" s="9" t="str">
        <f>INDEX('07_Material_Request'!$D:$D,MATCH(F5,'07_Material_Request'!$Q:$Q,0))</f>
        <v>Production</v>
      </c>
      <c r="J5" s="10" t="str">
        <f>INDEX('07_Material_Request'!$I:$I,MATCH(F5,'07_Material_Request'!$Q:$Q,0))</f>
        <v>Routine</v>
      </c>
      <c r="K5" s="14">
        <f>INDEX('07_Material_Request'!$H:$H,MATCH(F5,'07_Material_Request'!$Q:$Q,0))</f>
        <v>20</v>
      </c>
      <c r="L5" s="9" t="str">
        <f>INDEX('06_Put_Away'!$O:$O,MATCH(G5,'06_Put_Away'!$G:$G,0))</f>
        <v>RCK-B-01-02</v>
      </c>
      <c r="M5" s="10" t="str">
        <f>INDEX('03_Master_Location'!$E:$E,MATCH(L5,'03_Master_Location'!$A:$A,0))</f>
        <v>Yes</v>
      </c>
      <c r="N5" s="22" t="e">
        <f>SUMIF('06_Put_Away'!$G:$G,G5,'06_Put_Away'!$L:$L)-SUMIF('09_Goods_Issue'!$G:$G,G5,'09_Goods_Issue'!$M:$M)</f>
        <v>#REF!</v>
      </c>
      <c r="O5" s="22" t="e">
        <f>MIN(K5,N5)</f>
        <v>#REF!</v>
      </c>
      <c r="P5" s="11">
        <v>20</v>
      </c>
      <c r="Q5" s="19" t="str">
        <f>IF(P5=0,"Not Picked",IF(P5&lt;K5,"Partially Picked","Fully Picked"))</f>
        <v>Fully Picked</v>
      </c>
      <c r="R5" s="6" t="s">
        <v>244</v>
      </c>
      <c r="S5" s="6"/>
      <c r="T5" s="20" t="str">
        <f>A5&amp;"-"&amp;B5</f>
        <v>PL-2026-0001-20</v>
      </c>
    </row>
    <row r="6" spans="1:20" x14ac:dyDescent="0.25">
      <c r="A6" s="6" t="s">
        <v>335</v>
      </c>
      <c r="B6" s="7">
        <v>10</v>
      </c>
      <c r="C6" s="8">
        <v>46187</v>
      </c>
      <c r="D6" s="6" t="s">
        <v>307</v>
      </c>
      <c r="E6" s="7">
        <v>10</v>
      </c>
      <c r="F6" s="20" t="str">
        <f>D6&amp;"-"&amp;E6</f>
        <v>MR-2026-0002-10</v>
      </c>
      <c r="G6" s="9" t="str">
        <f>INDEX('07_Material_Request'!$E:$E,MATCH(F6,'07_Material_Request'!$Q:$Q,0))</f>
        <v>MAT-00003</v>
      </c>
      <c r="H6" s="9" t="str">
        <f>INDEX('01_Master_Material'!$B:$B,MATCH(G6,'01_Master_Material'!$A:$A,0))</f>
        <v>Engine Oil Filter (Cat 320D)</v>
      </c>
      <c r="I6" s="9" t="str">
        <f>INDEX('07_Material_Request'!$D:$D,MATCH(F6,'07_Material_Request'!$Q:$Q,0))</f>
        <v>Maintenance</v>
      </c>
      <c r="J6" s="10" t="str">
        <f>INDEX('07_Material_Request'!$I:$I,MATCH(F6,'07_Material_Request'!$Q:$Q,0))</f>
        <v>Urgent</v>
      </c>
      <c r="K6" s="14">
        <f>INDEX('07_Material_Request'!$H:$H,MATCH(F6,'07_Material_Request'!$Q:$Q,0))</f>
        <v>100</v>
      </c>
      <c r="L6" s="9" t="str">
        <f>INDEX('06_Put_Away'!$O:$O,MATCH(G6,'06_Put_Away'!$G:$G,0))</f>
        <v>RCK-B-02-01</v>
      </c>
      <c r="M6" s="10" t="str">
        <f>INDEX('03_Master_Location'!$E:$E,MATCH(L6,'03_Master_Location'!$A:$A,0))</f>
        <v>Yes</v>
      </c>
      <c r="N6" s="22" t="e">
        <f>SUMIF('06_Put_Away'!$G:$G,G6,'06_Put_Away'!$L:$L)-SUMIF('09_Goods_Issue'!$G:$G,G6,'09_Goods_Issue'!$M:$M)</f>
        <v>#REF!</v>
      </c>
      <c r="O6" s="22" t="e">
        <f>MIN(K6,N6)</f>
        <v>#REF!</v>
      </c>
      <c r="P6" s="11">
        <v>100</v>
      </c>
      <c r="Q6" s="19" t="str">
        <f>IF(P6=0,"Not Picked",IF(P6&lt;K6,"Partially Picked","Fully Picked"))</f>
        <v>Fully Picked</v>
      </c>
      <c r="R6" s="6" t="s">
        <v>244</v>
      </c>
      <c r="S6" s="6" t="s">
        <v>336</v>
      </c>
      <c r="T6" s="20" t="str">
        <f>A6&amp;"-"&amp;B6</f>
        <v>PL-2026-0002-10</v>
      </c>
    </row>
    <row r="7" spans="1:20" x14ac:dyDescent="0.25">
      <c r="A7" s="6" t="s">
        <v>337</v>
      </c>
      <c r="B7" s="7">
        <v>10</v>
      </c>
      <c r="C7" s="8">
        <v>46201</v>
      </c>
      <c r="D7" s="6" t="s">
        <v>310</v>
      </c>
      <c r="E7" s="7">
        <v>10</v>
      </c>
      <c r="F7" s="20" t="str">
        <f>D7&amp;"-"&amp;E7</f>
        <v>MR-2026-0003-10</v>
      </c>
      <c r="G7" s="9" t="str">
        <f>INDEX('07_Material_Request'!$E:$E,MATCH(F7,'07_Material_Request'!$Q:$Q,0))</f>
        <v>MAT-00004</v>
      </c>
      <c r="H7" s="9" t="str">
        <f>INDEX('01_Master_Material'!$B:$B,MATCH(G7,'01_Master_Material'!$A:$A,0))</f>
        <v>Hex Bolt M12x50 Grade 8.8</v>
      </c>
      <c r="I7" s="9" t="str">
        <f>INDEX('07_Material_Request'!$D:$D,MATCH(F7,'07_Material_Request'!$Q:$Q,0))</f>
        <v>Production</v>
      </c>
      <c r="J7" s="10" t="str">
        <f>INDEX('07_Material_Request'!$I:$I,MATCH(F7,'07_Material_Request'!$Q:$Q,0))</f>
        <v>Routine</v>
      </c>
      <c r="K7" s="14">
        <f>INDEX('07_Material_Request'!$H:$H,MATCH(F7,'07_Material_Request'!$Q:$Q,0))</f>
        <v>3000</v>
      </c>
      <c r="L7" s="9" t="str">
        <f>INDEX('06_Put_Away'!$O:$O,MATCH(G7,'06_Put_Away'!$G:$G,0))</f>
        <v>HAZ-C-01</v>
      </c>
      <c r="M7" s="10" t="str">
        <f>INDEX('03_Master_Location'!$E:$E,MATCH(L7,'03_Master_Location'!$A:$A,0))</f>
        <v>Yes</v>
      </c>
      <c r="N7" s="22" t="e">
        <f>SUMIF('06_Put_Away'!$G:$G,G7,'06_Put_Away'!$L:$L)-SUMIF('09_Goods_Issue'!$G:$G,G7,'09_Goods_Issue'!$M:$M)</f>
        <v>#REF!</v>
      </c>
      <c r="O7" s="22" t="e">
        <f>MIN(K7,N7)</f>
        <v>#REF!</v>
      </c>
      <c r="P7" s="11">
        <v>3000</v>
      </c>
      <c r="Q7" s="19" t="str">
        <f>IF(P7=0,"Not Picked",IF(P7&lt;K7,"Partially Picked","Fully Picked"))</f>
        <v>Fully Picked</v>
      </c>
      <c r="R7" s="6" t="s">
        <v>244</v>
      </c>
      <c r="S7" s="6" t="s">
        <v>338</v>
      </c>
      <c r="T7" s="20" t="str">
        <f>A7&amp;"-"&amp;B7</f>
        <v>PL-2026-0003-10</v>
      </c>
    </row>
    <row r="8" spans="1:20" x14ac:dyDescent="0.25">
      <c r="A8" s="6" t="s">
        <v>339</v>
      </c>
      <c r="B8" s="7">
        <v>10</v>
      </c>
      <c r="C8" s="8">
        <v>46204</v>
      </c>
      <c r="D8" s="6" t="s">
        <v>311</v>
      </c>
      <c r="E8" s="7">
        <v>10</v>
      </c>
      <c r="F8" s="20" t="str">
        <f>D8&amp;"-"&amp;E8</f>
        <v>MR-2026-0004-10</v>
      </c>
      <c r="G8" s="9" t="str">
        <f>INDEX('07_Material_Request'!$E:$E,MATCH(F8,'07_Material_Request'!$Q:$Q,0))</f>
        <v>MAT-00014</v>
      </c>
      <c r="H8" s="9" t="str">
        <f>INDEX('01_Master_Material'!$B:$B,MATCH(G8,'01_Master_Material'!$A:$A,0))</f>
        <v>Flat Washer M12 Zinc Plated</v>
      </c>
      <c r="I8" s="9" t="str">
        <f>INDEX('07_Material_Request'!$D:$D,MATCH(F8,'07_Material_Request'!$Q:$Q,0))</f>
        <v>Production</v>
      </c>
      <c r="J8" s="10" t="str">
        <f>INDEX('07_Material_Request'!$I:$I,MATCH(F8,'07_Material_Request'!$Q:$Q,0))</f>
        <v>Routine</v>
      </c>
      <c r="K8" s="14">
        <f>INDEX('07_Material_Request'!$H:$H,MATCH(F8,'07_Material_Request'!$Q:$Q,0))</f>
        <v>9000</v>
      </c>
      <c r="L8" s="9" t="str">
        <f>INDEX('06_Put_Away'!$O:$O,MATCH(G8,'06_Put_Away'!$G:$G,0))</f>
        <v>RCK-B-02-01</v>
      </c>
      <c r="M8" s="10" t="str">
        <f>INDEX('03_Master_Location'!$E:$E,MATCH(L8,'03_Master_Location'!$A:$A,0))</f>
        <v>Yes</v>
      </c>
      <c r="N8" s="22" t="e">
        <f>SUMIF('06_Put_Away'!$G:$G,G8,'06_Put_Away'!$L:$L)-SUMIF('09_Goods_Issue'!$G:$G,G8,'09_Goods_Issue'!$M:$M)</f>
        <v>#REF!</v>
      </c>
      <c r="O8" s="22" t="e">
        <f>MIN(K8,N8)</f>
        <v>#REF!</v>
      </c>
      <c r="P8" s="11">
        <v>8000</v>
      </c>
      <c r="Q8" s="19" t="str">
        <f>IF(P8=0,"Not Picked",IF(P8&lt;K8,"Partially Picked","Fully Picked"))</f>
        <v>Partially Picked</v>
      </c>
      <c r="R8" s="6" t="s">
        <v>340</v>
      </c>
      <c r="S8" s="6" t="s">
        <v>341</v>
      </c>
      <c r="T8" s="20" t="str">
        <f>A8&amp;"-"&amp;B8</f>
        <v>PL-2026-0004-10</v>
      </c>
    </row>
    <row r="11" spans="1:20" x14ac:dyDescent="0.25">
      <c r="A11" s="4" t="s">
        <v>71</v>
      </c>
    </row>
    <row r="12" spans="1:20" x14ac:dyDescent="0.25">
      <c r="A12" s="5" t="s">
        <v>342</v>
      </c>
    </row>
    <row r="13" spans="1:20" x14ac:dyDescent="0.25">
      <c r="A13" s="5" t="s">
        <v>343</v>
      </c>
    </row>
    <row r="14" spans="1:20" x14ac:dyDescent="0.25">
      <c r="A14" s="5" t="s">
        <v>344</v>
      </c>
    </row>
    <row r="15" spans="1:20" x14ac:dyDescent="0.25">
      <c r="A15" s="5" t="s">
        <v>345</v>
      </c>
    </row>
    <row r="16" spans="1:20" x14ac:dyDescent="0.25">
      <c r="A16" s="5" t="s">
        <v>346</v>
      </c>
    </row>
    <row r="17" spans="1:1" x14ac:dyDescent="0.25">
      <c r="A17" s="5" t="s">
        <v>347</v>
      </c>
    </row>
    <row r="18" spans="1:1" x14ac:dyDescent="0.25">
      <c r="A18" s="5" t="s">
        <v>348</v>
      </c>
    </row>
  </sheetData>
  <mergeCells count="1">
    <mergeCell ref="A1:S1"/>
  </mergeCells>
  <conditionalFormatting sqref="J4:J500">
    <cfRule type="expression" dxfId="21" priority="2">
      <formula>$J4="Urgent"</formula>
    </cfRule>
  </conditionalFormatting>
  <conditionalFormatting sqref="M4:M500">
    <cfRule type="expression" dxfId="20" priority="3">
      <formula>$M4="No"</formula>
    </cfRule>
  </conditionalFormatting>
  <conditionalFormatting sqref="Q4:Q500">
    <cfRule type="expression" dxfId="19" priority="4">
      <formula>$Q4="Partially Picked"</formula>
    </cfRule>
    <cfRule type="expression" dxfId="18" priority="5">
      <formula>$Q4="Fully Picked"</formula>
    </cfRule>
    <cfRule type="expression" dxfId="17" priority="6">
      <formula>$Q4="Not Picked"</formula>
    </cfRule>
  </conditionalFormatting>
  <dataValidations count="1">
    <dataValidation type="list" showInputMessage="1" showErrorMessage="1" errorTitle="Invalid entry" error="Please select a value from the list." promptTitle="Short-Pick Reason" prompt="Reason if Quantity Picked is less than requested." sqref="R4:R500" xr:uid="{00000000-0002-0000-0700-000002000000}">
      <formula1>"N/A,Stock Shortage,Location Empty,Damaged Stock Found,Wrong Location"</formula1>
      <formula2>0</formula2>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errorTitle="Invalid entry" error="Please select a value from the list." promptTitle="Request Number" prompt="Select the Material Request Number this pick is against." xr:uid="{00000000-0002-0000-0700-000000000000}">
          <x14:formula1>
            <xm:f>'07_Material_Request'!$A$4:$A$8</xm:f>
          </x14:formula1>
          <x14:formula2>
            <xm:f>0</xm:f>
          </x14:formula2>
          <xm:sqref>D4:D500</xm:sqref>
        </x14:dataValidation>
        <x14:dataValidation type="list" showInputMessage="1" showErrorMessage="1" errorTitle="Invalid entry" error="Please select a value from the list." promptTitle="Request Line" prompt="Select the Material Request Line this pick is against." xr:uid="{00000000-0002-0000-0700-000001000000}">
          <x14:formula1>
            <xm:f>'07_Material_Request'!$B$4:$B$8</xm:f>
          </x14:formula1>
          <x14:formula2>
            <xm:f>0</xm:f>
          </x14:formula2>
          <xm:sqref>E4:E500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6"/>
  <sheetViews>
    <sheetView showGridLines="0" topLeftCell="H1" zoomScaleNormal="100" workbookViewId="0">
      <pane ySplit="3" topLeftCell="A4" activePane="bottomLeft" state="frozen"/>
      <selection pane="bottomLeft" activeCell="Q6" sqref="Q6"/>
    </sheetView>
  </sheetViews>
  <sheetFormatPr defaultColWidth="8.7109375" defaultRowHeight="15" x14ac:dyDescent="0.25"/>
  <cols>
    <col min="1" max="1" width="14" customWidth="1"/>
    <col min="2" max="2" width="8" customWidth="1"/>
    <col min="3" max="3" width="12" customWidth="1"/>
    <col min="4" max="4" width="14" customWidth="1"/>
    <col min="5" max="5" width="8" customWidth="1"/>
    <col min="6" max="6" width="16" customWidth="1"/>
    <col min="7" max="7" width="12" customWidth="1"/>
    <col min="8" max="8" width="30" customWidth="1"/>
    <col min="9" max="9" width="12" customWidth="1"/>
    <col min="10" max="11" width="18" customWidth="1"/>
    <col min="12" max="13" width="14" customWidth="1"/>
    <col min="14" max="14" width="12" customWidth="1"/>
    <col min="15" max="15" width="22" customWidth="1"/>
    <col min="16" max="16" width="40" customWidth="1"/>
    <col min="17" max="17" width="14" customWidth="1"/>
  </cols>
  <sheetData>
    <row r="1" spans="1:17" ht="24" customHeight="1" x14ac:dyDescent="0.25">
      <c r="A1" s="40" t="s">
        <v>349</v>
      </c>
      <c r="B1" s="40"/>
      <c r="C1" s="40"/>
      <c r="D1" s="40"/>
      <c r="E1" s="40"/>
      <c r="F1" s="40"/>
      <c r="G1" s="40"/>
      <c r="H1" s="40"/>
      <c r="I1" s="40"/>
      <c r="J1" s="40"/>
      <c r="K1" s="40"/>
      <c r="L1" s="40"/>
      <c r="M1" s="40"/>
      <c r="N1" s="40"/>
      <c r="O1" s="40"/>
      <c r="P1" s="40"/>
      <c r="Q1" s="40"/>
    </row>
    <row r="3" spans="1:17" ht="31.5" customHeight="1" x14ac:dyDescent="0.25">
      <c r="A3" s="1" t="s">
        <v>350</v>
      </c>
      <c r="B3" s="1" t="s">
        <v>351</v>
      </c>
      <c r="C3" s="1" t="s">
        <v>352</v>
      </c>
      <c r="D3" s="1" t="s">
        <v>321</v>
      </c>
      <c r="E3" s="1" t="s">
        <v>322</v>
      </c>
      <c r="F3" s="1" t="s">
        <v>333</v>
      </c>
      <c r="G3" s="1" t="s">
        <v>1</v>
      </c>
      <c r="H3" s="1" t="s">
        <v>2</v>
      </c>
      <c r="I3" s="1" t="s">
        <v>269</v>
      </c>
      <c r="J3" s="1" t="s">
        <v>353</v>
      </c>
      <c r="K3" s="1" t="s">
        <v>324</v>
      </c>
      <c r="L3" s="1" t="s">
        <v>354</v>
      </c>
      <c r="M3" s="1" t="s">
        <v>355</v>
      </c>
      <c r="N3" s="1" t="s">
        <v>356</v>
      </c>
      <c r="O3" s="1" t="s">
        <v>357</v>
      </c>
      <c r="P3" s="1" t="s">
        <v>204</v>
      </c>
      <c r="Q3" s="1" t="s">
        <v>358</v>
      </c>
    </row>
    <row r="4" spans="1:17" x14ac:dyDescent="0.25">
      <c r="A4" s="6" t="s">
        <v>359</v>
      </c>
      <c r="B4" s="7">
        <v>10</v>
      </c>
      <c r="C4" s="8">
        <v>46190</v>
      </c>
      <c r="D4" s="6" t="s">
        <v>334</v>
      </c>
      <c r="E4" s="7">
        <v>10</v>
      </c>
      <c r="F4" s="20" t="str">
        <f>D4&amp;"-"&amp;E4</f>
        <v>PL-2026-0001-10</v>
      </c>
      <c r="G4" s="9" t="str">
        <f>INDEX('08_Picking_List'!$G:$G,MATCH(F4,'08_Picking_List'!$T:$T,0))</f>
        <v>MAT-00001</v>
      </c>
      <c r="H4" s="9" t="str">
        <f>INDEX('01_Master_Material'!$B:$B,MATCH(G4,'01_Master_Material'!$A:$A,0))</f>
        <v>Hydraulic Cylinder Seal Kit 80mm</v>
      </c>
      <c r="I4" s="10" t="str">
        <f>INDEX('01_Master_Material'!$D:$D,MATCH(G4,'01_Master_Material'!$A:$A,0))</f>
        <v>PCS</v>
      </c>
      <c r="J4" s="9" t="str">
        <f>INDEX('08_Picking_List'!$L:$L,MATCH(F4,'08_Picking_List'!$T:$T,0))</f>
        <v>RCK-B-01-01</v>
      </c>
      <c r="K4" s="9" t="str">
        <f>INDEX('08_Picking_List'!$I:$I,MATCH(F4,'08_Picking_List'!$T:$T,0))</f>
        <v>Production</v>
      </c>
      <c r="L4" s="14">
        <f>INDEX('08_Picking_List'!$P:$P,MATCH(F4,'08_Picking_List'!$T:$T,0))</f>
        <v>4</v>
      </c>
      <c r="M4" s="11">
        <v>4</v>
      </c>
      <c r="N4" s="22">
        <f>L4-M4</f>
        <v>0</v>
      </c>
      <c r="O4" s="6" t="s">
        <v>244</v>
      </c>
      <c r="P4" s="6"/>
      <c r="Q4" s="20" t="str">
        <f>A4&amp;"-"&amp;B4</f>
        <v>GI-2026-0001-10</v>
      </c>
    </row>
    <row r="5" spans="1:17" x14ac:dyDescent="0.25">
      <c r="A5" s="6" t="s">
        <v>359</v>
      </c>
      <c r="B5" s="7">
        <v>20</v>
      </c>
      <c r="C5" s="8">
        <v>46190</v>
      </c>
      <c r="D5" s="6" t="s">
        <v>334</v>
      </c>
      <c r="E5" s="7">
        <v>20</v>
      </c>
      <c r="F5" s="20" t="str">
        <f>D5&amp;"-"&amp;E5</f>
        <v>PL-2026-0001-20</v>
      </c>
      <c r="G5" s="9" t="str">
        <f>INDEX('08_Picking_List'!$G:$G,MATCH(F5,'08_Picking_List'!$T:$T,0))</f>
        <v>MAT-00008</v>
      </c>
      <c r="H5" s="9" t="str">
        <f>INDEX('01_Master_Material'!$B:$B,MATCH(G5,'01_Master_Material'!$A:$A,0))</f>
        <v>Hydraulic Hose 1/2in x 3m</v>
      </c>
      <c r="I5" s="10" t="str">
        <f>INDEX('01_Master_Material'!$D:$D,MATCH(G5,'01_Master_Material'!$A:$A,0))</f>
        <v>PCS</v>
      </c>
      <c r="J5" s="9" t="str">
        <f>INDEX('08_Picking_List'!$L:$L,MATCH(F5,'08_Picking_List'!$T:$T,0))</f>
        <v>RCK-B-01-02</v>
      </c>
      <c r="K5" s="9" t="str">
        <f>INDEX('08_Picking_List'!$I:$I,MATCH(F5,'08_Picking_List'!$T:$T,0))</f>
        <v>Production</v>
      </c>
      <c r="L5" s="14">
        <f>INDEX('08_Picking_List'!$P:$P,MATCH(F5,'08_Picking_List'!$T:$T,0))</f>
        <v>20</v>
      </c>
      <c r="M5" s="11">
        <v>19</v>
      </c>
      <c r="N5" s="22">
        <f>L5-M5</f>
        <v>1</v>
      </c>
      <c r="O5" s="6" t="s">
        <v>360</v>
      </c>
      <c r="P5" s="6" t="s">
        <v>361</v>
      </c>
      <c r="Q5" s="20" t="str">
        <f>A5&amp;"-"&amp;B5</f>
        <v>GI-2026-0001-20</v>
      </c>
    </row>
    <row r="6" spans="1:17" x14ac:dyDescent="0.25">
      <c r="A6" s="6" t="s">
        <v>362</v>
      </c>
      <c r="B6" s="7">
        <v>10</v>
      </c>
      <c r="C6" s="8">
        <v>46187</v>
      </c>
      <c r="D6" s="6" t="s">
        <v>335</v>
      </c>
      <c r="E6" s="7">
        <v>10</v>
      </c>
      <c r="F6" s="20" t="str">
        <f>D6&amp;"-"&amp;E6</f>
        <v>PL-2026-0002-10</v>
      </c>
      <c r="G6" s="9" t="str">
        <f>INDEX('08_Picking_List'!$G:$G,MATCH(F6,'08_Picking_List'!$T:$T,0))</f>
        <v>MAT-00003</v>
      </c>
      <c r="H6" s="9" t="str">
        <f>INDEX('01_Master_Material'!$B:$B,MATCH(G6,'01_Master_Material'!$A:$A,0))</f>
        <v>Engine Oil Filter (Cat 320D)</v>
      </c>
      <c r="I6" s="10" t="str">
        <f>INDEX('01_Master_Material'!$D:$D,MATCH(G6,'01_Master_Material'!$A:$A,0))</f>
        <v>PCS</v>
      </c>
      <c r="J6" s="9" t="str">
        <f>INDEX('08_Picking_List'!$L:$L,MATCH(F6,'08_Picking_List'!$T:$T,0))</f>
        <v>RCK-B-02-01</v>
      </c>
      <c r="K6" s="9" t="str">
        <f>INDEX('08_Picking_List'!$I:$I,MATCH(F6,'08_Picking_List'!$T:$T,0))</f>
        <v>Maintenance</v>
      </c>
      <c r="L6" s="14">
        <f>INDEX('08_Picking_List'!$P:$P,MATCH(F6,'08_Picking_List'!$T:$T,0))</f>
        <v>100</v>
      </c>
      <c r="M6" s="11">
        <v>100</v>
      </c>
      <c r="N6" s="22">
        <f>L6-M6</f>
        <v>0</v>
      </c>
      <c r="O6" s="6" t="s">
        <v>244</v>
      </c>
      <c r="P6" s="6" t="s">
        <v>363</v>
      </c>
      <c r="Q6" s="20" t="str">
        <f>A6&amp;"-"&amp;B6</f>
        <v>GI-2026-0002-10</v>
      </c>
    </row>
    <row r="7" spans="1:17" x14ac:dyDescent="0.25">
      <c r="A7" s="6" t="s">
        <v>364</v>
      </c>
      <c r="B7" s="7">
        <v>10</v>
      </c>
      <c r="C7" s="8">
        <v>46201</v>
      </c>
      <c r="D7" s="6" t="s">
        <v>337</v>
      </c>
      <c r="E7" s="7">
        <v>10</v>
      </c>
      <c r="F7" s="20" t="str">
        <f>D7&amp;"-"&amp;E7</f>
        <v>PL-2026-0003-10</v>
      </c>
      <c r="G7" s="9" t="str">
        <f>INDEX('08_Picking_List'!$G:$G,MATCH(F7,'08_Picking_List'!$T:$T,0))</f>
        <v>MAT-00004</v>
      </c>
      <c r="H7" s="9" t="str">
        <f>INDEX('01_Master_Material'!$B:$B,MATCH(G7,'01_Master_Material'!$A:$A,0))</f>
        <v>Hex Bolt M12x50 Grade 8.8</v>
      </c>
      <c r="I7" s="10" t="str">
        <f>INDEX('01_Master_Material'!$D:$D,MATCH(G7,'01_Master_Material'!$A:$A,0))</f>
        <v>PCS</v>
      </c>
      <c r="J7" s="9" t="str">
        <f>INDEX('08_Picking_List'!$L:$L,MATCH(F7,'08_Picking_List'!$T:$T,0))</f>
        <v>HAZ-C-01</v>
      </c>
      <c r="K7" s="9" t="str">
        <f>INDEX('08_Picking_List'!$I:$I,MATCH(F7,'08_Picking_List'!$T:$T,0))</f>
        <v>Production</v>
      </c>
      <c r="L7" s="14">
        <f>INDEX('08_Picking_List'!$P:$P,MATCH(F7,'08_Picking_List'!$T:$T,0))</f>
        <v>3000</v>
      </c>
      <c r="M7" s="11">
        <v>3000</v>
      </c>
      <c r="N7" s="22">
        <f>L7-M7</f>
        <v>0</v>
      </c>
      <c r="O7" s="6" t="s">
        <v>244</v>
      </c>
      <c r="P7" s="6" t="s">
        <v>365</v>
      </c>
      <c r="Q7" s="20" t="str">
        <f>A7&amp;"-"&amp;B7</f>
        <v>GI-2026-0003-10</v>
      </c>
    </row>
    <row r="8" spans="1:17" x14ac:dyDescent="0.25">
      <c r="A8" s="6" t="s">
        <v>366</v>
      </c>
      <c r="B8" s="7">
        <v>10</v>
      </c>
      <c r="C8" s="8">
        <v>46204</v>
      </c>
      <c r="D8" s="6" t="s">
        <v>339</v>
      </c>
      <c r="E8" s="7">
        <v>10</v>
      </c>
      <c r="F8" s="20" t="str">
        <f>D8&amp;"-"&amp;E8</f>
        <v>PL-2026-0004-10</v>
      </c>
      <c r="G8" s="9" t="str">
        <f>INDEX('08_Picking_List'!$G:$G,MATCH(F8,'08_Picking_List'!$T:$T,0))</f>
        <v>MAT-00014</v>
      </c>
      <c r="H8" s="9" t="str">
        <f>INDEX('01_Master_Material'!$B:$B,MATCH(G8,'01_Master_Material'!$A:$A,0))</f>
        <v>Flat Washer M12 Zinc Plated</v>
      </c>
      <c r="I8" s="10" t="str">
        <f>INDEX('01_Master_Material'!$D:$D,MATCH(G8,'01_Master_Material'!$A:$A,0))</f>
        <v>PCS</v>
      </c>
      <c r="J8" s="9" t="str">
        <f>INDEX('08_Picking_List'!$L:$L,MATCH(F8,'08_Picking_List'!$T:$T,0))</f>
        <v>RCK-B-02-01</v>
      </c>
      <c r="K8" s="9" t="str">
        <f>INDEX('08_Picking_List'!$I:$I,MATCH(F8,'08_Picking_List'!$T:$T,0))</f>
        <v>Production</v>
      </c>
      <c r="L8" s="14">
        <f>INDEX('08_Picking_List'!$P:$P,MATCH(F8,'08_Picking_List'!$T:$T,0))</f>
        <v>8000</v>
      </c>
      <c r="M8" s="11">
        <v>8000</v>
      </c>
      <c r="N8" s="22">
        <f>L8-M8</f>
        <v>0</v>
      </c>
      <c r="O8" s="6" t="s">
        <v>244</v>
      </c>
      <c r="P8" s="6" t="s">
        <v>367</v>
      </c>
      <c r="Q8" s="20" t="str">
        <f>A8&amp;"-"&amp;B8</f>
        <v>GI-2026-0004-10</v>
      </c>
    </row>
    <row r="11" spans="1:17" x14ac:dyDescent="0.25">
      <c r="A11" s="4" t="s">
        <v>71</v>
      </c>
    </row>
    <row r="12" spans="1:17" x14ac:dyDescent="0.25">
      <c r="A12" s="5" t="s">
        <v>368</v>
      </c>
    </row>
    <row r="13" spans="1:17" x14ac:dyDescent="0.25">
      <c r="A13" s="5" t="s">
        <v>369</v>
      </c>
    </row>
    <row r="14" spans="1:17" x14ac:dyDescent="0.25">
      <c r="A14" s="5" t="s">
        <v>370</v>
      </c>
    </row>
    <row r="15" spans="1:17" x14ac:dyDescent="0.25">
      <c r="A15" s="5" t="s">
        <v>371</v>
      </c>
    </row>
    <row r="16" spans="1:17" x14ac:dyDescent="0.25">
      <c r="A16" s="5" t="s">
        <v>372</v>
      </c>
    </row>
  </sheetData>
  <mergeCells count="1">
    <mergeCell ref="A1:Q1"/>
  </mergeCells>
  <conditionalFormatting sqref="N4:N500">
    <cfRule type="expression" dxfId="16" priority="2">
      <formula>$N4&gt;0</formula>
    </cfRule>
  </conditionalFormatting>
  <conditionalFormatting sqref="O4:O500">
    <cfRule type="expression" dxfId="15" priority="3">
      <formula>$O4&lt;&gt;"N/A"</formula>
    </cfRule>
  </conditionalFormatting>
  <dataValidations count="1">
    <dataValidation type="list" showInputMessage="1" showErrorMessage="1" errorTitle="Invalid entry" error="Please select a value from the list." promptTitle="Issue Variance Reason" prompt="Reason if Quantity Issued is less than Quantity Picked." sqref="O4:O500" xr:uid="{00000000-0002-0000-0800-000002000000}">
      <formula1>"N/A,Damaged During Staging,Department Cancelled Partial Need,Recount Adjustment"</formula1>
      <formula2>0</formula2>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errorTitle="Invalid entry" error="Please select a value from the list." promptTitle="Pick Number" prompt="Select the Pick Number this issue is against." xr:uid="{00000000-0002-0000-0800-000000000000}">
          <x14:formula1>
            <xm:f>'08_Picking_List'!$A$4:$A$8</xm:f>
          </x14:formula1>
          <x14:formula2>
            <xm:f>0</xm:f>
          </x14:formula2>
          <xm:sqref>D4:D500</xm:sqref>
        </x14:dataValidation>
        <x14:dataValidation type="list" showInputMessage="1" showErrorMessage="1" errorTitle="Invalid entry" error="Please select a value from the list." promptTitle="Pick Line" prompt="Select the Pick Line this issue is against." xr:uid="{00000000-0002-0000-0800-000001000000}">
          <x14:formula1>
            <xm:f>'08_Picking_List'!$B$4:$B$8</xm:f>
          </x14:formula1>
          <x14:formula2>
            <xm:f>0</xm:f>
          </x14:formula2>
          <xm:sqref>E4:E500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2"/>
  <sheetViews>
    <sheetView showGridLines="0" topLeftCell="F1" zoomScaleNormal="100" workbookViewId="0">
      <pane ySplit="3" topLeftCell="A4" activePane="bottomLeft" state="frozen"/>
      <selection pane="bottomLeft" activeCell="P10" sqref="P10"/>
    </sheetView>
  </sheetViews>
  <sheetFormatPr defaultColWidth="8.7109375" defaultRowHeight="15" x14ac:dyDescent="0.25"/>
  <cols>
    <col min="1" max="1" width="10" customWidth="1"/>
    <col min="2" max="2" width="14" customWidth="1"/>
    <col min="3" max="3" width="12" customWidth="1"/>
    <col min="4" max="4" width="16" customWidth="1"/>
    <col min="5" max="5" width="12" customWidth="1"/>
    <col min="6" max="6" width="16" customWidth="1"/>
    <col min="7" max="7" width="12" customWidth="1"/>
    <col min="8" max="8" width="30" customWidth="1"/>
    <col min="9" max="9" width="12" customWidth="1"/>
    <col min="10" max="10" width="16" customWidth="1"/>
    <col min="11" max="13" width="12" customWidth="1"/>
    <col min="14" max="14" width="16" customWidth="1"/>
    <col min="15" max="15" width="12" customWidth="1"/>
    <col min="16" max="16" width="16" customWidth="1"/>
    <col min="17" max="17" width="40" customWidth="1"/>
  </cols>
  <sheetData>
    <row r="1" spans="1:17" ht="24" customHeight="1" x14ac:dyDescent="0.25">
      <c r="A1" s="40" t="s">
        <v>373</v>
      </c>
      <c r="B1" s="40"/>
      <c r="C1" s="40"/>
      <c r="D1" s="40"/>
      <c r="E1" s="40"/>
      <c r="F1" s="40"/>
      <c r="G1" s="40"/>
      <c r="H1" s="40"/>
      <c r="I1" s="40"/>
      <c r="J1" s="40"/>
      <c r="K1" s="40"/>
      <c r="L1" s="40"/>
      <c r="M1" s="40"/>
      <c r="N1" s="40"/>
      <c r="O1" s="40"/>
      <c r="P1" s="40"/>
      <c r="Q1" s="40"/>
    </row>
    <row r="3" spans="1:17" ht="31.5" customHeight="1" x14ac:dyDescent="0.25">
      <c r="A3" s="1" t="s">
        <v>374</v>
      </c>
      <c r="B3" s="1" t="s">
        <v>375</v>
      </c>
      <c r="C3" s="1" t="s">
        <v>376</v>
      </c>
      <c r="D3" s="1" t="s">
        <v>377</v>
      </c>
      <c r="E3" s="1" t="s">
        <v>378</v>
      </c>
      <c r="F3" s="1" t="s">
        <v>379</v>
      </c>
      <c r="G3" s="1" t="s">
        <v>1</v>
      </c>
      <c r="H3" s="1" t="s">
        <v>2</v>
      </c>
      <c r="I3" s="1" t="s">
        <v>269</v>
      </c>
      <c r="J3" s="1" t="s">
        <v>380</v>
      </c>
      <c r="K3" s="1" t="s">
        <v>381</v>
      </c>
      <c r="L3" s="1" t="s">
        <v>382</v>
      </c>
      <c r="M3" s="1" t="s">
        <v>383</v>
      </c>
      <c r="N3" s="1" t="s">
        <v>384</v>
      </c>
      <c r="O3" s="1" t="s">
        <v>385</v>
      </c>
      <c r="P3" s="1" t="s">
        <v>386</v>
      </c>
      <c r="Q3" s="1" t="s">
        <v>204</v>
      </c>
    </row>
    <row r="4" spans="1:17" x14ac:dyDescent="0.25">
      <c r="A4" s="7">
        <v>1</v>
      </c>
      <c r="B4" s="8">
        <v>46186</v>
      </c>
      <c r="C4" s="17" t="s">
        <v>387</v>
      </c>
      <c r="D4" s="6" t="s">
        <v>279</v>
      </c>
      <c r="E4" s="7">
        <v>10</v>
      </c>
      <c r="F4" s="20" t="str">
        <f t="shared" ref="F4:F13" si="0">D4&amp;"-"&amp;E4</f>
        <v>PA-2026-0002-10</v>
      </c>
      <c r="G4" s="9" t="str">
        <f>IF(C4="Receipt",INDEX('06_Put_Away'!$G:$G,MATCH(F4,'06_Put_Away'!$V:$V,0)),INDEX('09_Goods_Issue'!$G:$G,MATCH(F4,'09_Goods_Issue'!$Q:$Q,0)))</f>
        <v>MAT-00003</v>
      </c>
      <c r="H4" s="9" t="str">
        <f>INDEX('01_Master_Material'!$B:$B,MATCH(G4,'01_Master_Material'!$A:$A,0))</f>
        <v>Engine Oil Filter (Cat 320D)</v>
      </c>
      <c r="I4" s="10" t="str">
        <f>INDEX('01_Master_Material'!$D:$D,MATCH(G4,'01_Master_Material'!$A:$A,0))</f>
        <v>PCS</v>
      </c>
      <c r="J4" s="9" t="str">
        <f>IF(C4="Receipt",INDEX('06_Put_Away'!$O:$O,MATCH(F4,'06_Put_Away'!$V:$V,0)),INDEX('09_Goods_Issue'!$J:$J,MATCH(F4,'09_Goods_Issue'!$Q:$Q,0)))</f>
        <v>RCK-B-02-01</v>
      </c>
      <c r="K4" s="14" t="e">
        <f>IF(C4="Receipt",INDEX('06_Put_Away'!$L:$L,MATCH(F4,'06_Put_Away'!$V:$V,0)),0)</f>
        <v>#REF!</v>
      </c>
      <c r="L4" s="14">
        <f>IF(C4="Issue",INDEX('09_Goods_Issue'!$M:$M,MATCH(F4,'09_Goods_Issue'!$Q:$Q,0)),0)</f>
        <v>0</v>
      </c>
      <c r="M4" s="24" t="e">
        <f t="shared" ref="M4:M13" si="1">K4-L4</f>
        <v>#REF!</v>
      </c>
      <c r="N4" s="22" t="e">
        <f>SUMIFS($M$4:M4,$G$4:G4,G4)</f>
        <v>#REF!</v>
      </c>
      <c r="O4" s="21">
        <f>INDEX('01_Master_Material'!$G:$G,MATCH(G4,'01_Master_Material'!$A:$A,0))</f>
        <v>250000</v>
      </c>
      <c r="P4" s="13" t="e">
        <f t="shared" ref="P4:P13" si="2">N4*O4</f>
        <v>#REF!</v>
      </c>
      <c r="Q4" s="6"/>
    </row>
    <row r="5" spans="1:17" x14ac:dyDescent="0.25">
      <c r="A5" s="7">
        <v>2</v>
      </c>
      <c r="B5" s="8">
        <v>46187</v>
      </c>
      <c r="C5" s="17" t="s">
        <v>388</v>
      </c>
      <c r="D5" s="6" t="s">
        <v>362</v>
      </c>
      <c r="E5" s="7">
        <v>10</v>
      </c>
      <c r="F5" s="20" t="str">
        <f t="shared" si="0"/>
        <v>GI-2026-0002-10</v>
      </c>
      <c r="G5" s="9" t="str">
        <f>IF(C5="Receipt",INDEX('06_Put_Away'!$G:$G,MATCH(F5,'06_Put_Away'!$V:$V,0)),INDEX('09_Goods_Issue'!$G:$G,MATCH(F5,'09_Goods_Issue'!$Q:$Q,0)))</f>
        <v>MAT-00003</v>
      </c>
      <c r="H5" s="9" t="str">
        <f>INDEX('01_Master_Material'!$B:$B,MATCH(G5,'01_Master_Material'!$A:$A,0))</f>
        <v>Engine Oil Filter (Cat 320D)</v>
      </c>
      <c r="I5" s="10" t="str">
        <f>INDEX('01_Master_Material'!$D:$D,MATCH(G5,'01_Master_Material'!$A:$A,0))</f>
        <v>PCS</v>
      </c>
      <c r="J5" s="9" t="str">
        <f>IF(C5="Receipt",INDEX('06_Put_Away'!$O:$O,MATCH(F5,'06_Put_Away'!$V:$V,0)),INDEX('09_Goods_Issue'!$J:$J,MATCH(F5,'09_Goods_Issue'!$Q:$Q,0)))</f>
        <v>RCK-B-02-01</v>
      </c>
      <c r="K5" s="14">
        <f>IF(C5="Receipt",INDEX('06_Put_Away'!$L:$L,MATCH(F5,'06_Put_Away'!$V:$V,0)),0)</f>
        <v>0</v>
      </c>
      <c r="L5" s="14">
        <f>IF(C5="Issue",INDEX('09_Goods_Issue'!$M:$M,MATCH(F5,'09_Goods_Issue'!$Q:$Q,0)),0)</f>
        <v>100</v>
      </c>
      <c r="M5" s="24">
        <f t="shared" si="1"/>
        <v>-100</v>
      </c>
      <c r="N5" s="22" t="e">
        <f>SUMIFS($M$4:M5,$G$4:G5,G5)</f>
        <v>#REF!</v>
      </c>
      <c r="O5" s="21">
        <f>INDEX('01_Master_Material'!$G:$G,MATCH(G5,'01_Master_Material'!$A:$A,0))</f>
        <v>250000</v>
      </c>
      <c r="P5" s="13" t="e">
        <f t="shared" si="2"/>
        <v>#REF!</v>
      </c>
      <c r="Q5" s="6"/>
    </row>
    <row r="6" spans="1:17" x14ac:dyDescent="0.25">
      <c r="A6" s="7">
        <v>3</v>
      </c>
      <c r="B6" s="8">
        <v>46188</v>
      </c>
      <c r="C6" s="17" t="s">
        <v>387</v>
      </c>
      <c r="D6" s="6" t="s">
        <v>278</v>
      </c>
      <c r="E6" s="7">
        <v>10</v>
      </c>
      <c r="F6" s="20" t="str">
        <f t="shared" si="0"/>
        <v>PA-2026-0001-10</v>
      </c>
      <c r="G6" s="9" t="str">
        <f>IF(C6="Receipt",INDEX('06_Put_Away'!$G:$G,MATCH(F6,'06_Put_Away'!$V:$V,0)),INDEX('09_Goods_Issue'!$G:$G,MATCH(F6,'09_Goods_Issue'!$Q:$Q,0)))</f>
        <v>MAT-00001</v>
      </c>
      <c r="H6" s="9" t="str">
        <f>INDEX('01_Master_Material'!$B:$B,MATCH(G6,'01_Master_Material'!$A:$A,0))</f>
        <v>Hydraulic Cylinder Seal Kit 80mm</v>
      </c>
      <c r="I6" s="10" t="str">
        <f>INDEX('01_Master_Material'!$D:$D,MATCH(G6,'01_Master_Material'!$A:$A,0))</f>
        <v>PCS</v>
      </c>
      <c r="J6" s="9" t="str">
        <f>IF(C6="Receipt",INDEX('06_Put_Away'!$O:$O,MATCH(F6,'06_Put_Away'!$V:$V,0)),INDEX('09_Goods_Issue'!$J:$J,MATCH(F6,'09_Goods_Issue'!$Q:$Q,0)))</f>
        <v>RCK-B-01-01</v>
      </c>
      <c r="K6" s="14" t="e">
        <f>IF(C6="Receipt",INDEX('06_Put_Away'!$L:$L,MATCH(F6,'06_Put_Away'!$V:$V,0)),0)</f>
        <v>#REF!</v>
      </c>
      <c r="L6" s="14">
        <f>IF(C6="Issue",INDEX('09_Goods_Issue'!$M:$M,MATCH(F6,'09_Goods_Issue'!$Q:$Q,0)),0)</f>
        <v>0</v>
      </c>
      <c r="M6" s="24" t="e">
        <f t="shared" si="1"/>
        <v>#REF!</v>
      </c>
      <c r="N6" s="22" t="e">
        <f>SUMIFS($M$4:M6,$G$4:G6,G6)</f>
        <v>#REF!</v>
      </c>
      <c r="O6" s="21">
        <f>INDEX('01_Master_Material'!$G:$G,MATCH(G6,'01_Master_Material'!$A:$A,0))</f>
        <v>750000</v>
      </c>
      <c r="P6" s="13" t="e">
        <f t="shared" si="2"/>
        <v>#REF!</v>
      </c>
      <c r="Q6" s="6"/>
    </row>
    <row r="7" spans="1:17" x14ac:dyDescent="0.25">
      <c r="A7" s="7">
        <v>4</v>
      </c>
      <c r="B7" s="8">
        <v>46188</v>
      </c>
      <c r="C7" s="17" t="s">
        <v>387</v>
      </c>
      <c r="D7" s="6" t="s">
        <v>278</v>
      </c>
      <c r="E7" s="7">
        <v>20</v>
      </c>
      <c r="F7" s="20" t="str">
        <f t="shared" si="0"/>
        <v>PA-2026-0001-20</v>
      </c>
      <c r="G7" s="9" t="str">
        <f>IF(C7="Receipt",INDEX('06_Put_Away'!$G:$G,MATCH(F7,'06_Put_Away'!$V:$V,0)),INDEX('09_Goods_Issue'!$G:$G,MATCH(F7,'09_Goods_Issue'!$Q:$Q,0)))</f>
        <v>MAT-00008</v>
      </c>
      <c r="H7" s="9" t="str">
        <f>INDEX('01_Master_Material'!$B:$B,MATCH(G7,'01_Master_Material'!$A:$A,0))</f>
        <v>Hydraulic Hose 1/2in x 3m</v>
      </c>
      <c r="I7" s="10" t="str">
        <f>INDEX('01_Master_Material'!$D:$D,MATCH(G7,'01_Master_Material'!$A:$A,0))</f>
        <v>PCS</v>
      </c>
      <c r="J7" s="9" t="str">
        <f>IF(C7="Receipt",INDEX('06_Put_Away'!$O:$O,MATCH(F7,'06_Put_Away'!$V:$V,0)),INDEX('09_Goods_Issue'!$J:$J,MATCH(F7,'09_Goods_Issue'!$Q:$Q,0)))</f>
        <v>RCK-B-01-02</v>
      </c>
      <c r="K7" s="14" t="e">
        <f>IF(C7="Receipt",INDEX('06_Put_Away'!$L:$L,MATCH(F7,'06_Put_Away'!$V:$V,0)),0)</f>
        <v>#REF!</v>
      </c>
      <c r="L7" s="14">
        <f>IF(C7="Issue",INDEX('09_Goods_Issue'!$M:$M,MATCH(F7,'09_Goods_Issue'!$Q:$Q,0)),0)</f>
        <v>0</v>
      </c>
      <c r="M7" s="24" t="e">
        <f t="shared" si="1"/>
        <v>#REF!</v>
      </c>
      <c r="N7" s="22" t="e">
        <f>SUMIFS($M$4:M7,$G$4:G7,G7)</f>
        <v>#REF!</v>
      </c>
      <c r="O7" s="21">
        <f>INDEX('01_Master_Material'!$G:$G,MATCH(G7,'01_Master_Material'!$A:$A,0))</f>
        <v>680000</v>
      </c>
      <c r="P7" s="13" t="e">
        <f t="shared" si="2"/>
        <v>#REF!</v>
      </c>
      <c r="Q7" s="6"/>
    </row>
    <row r="8" spans="1:17" x14ac:dyDescent="0.25">
      <c r="A8" s="7">
        <v>5</v>
      </c>
      <c r="B8" s="8">
        <v>46190</v>
      </c>
      <c r="C8" s="17" t="s">
        <v>388</v>
      </c>
      <c r="D8" s="6" t="s">
        <v>359</v>
      </c>
      <c r="E8" s="7">
        <v>10</v>
      </c>
      <c r="F8" s="20" t="str">
        <f t="shared" si="0"/>
        <v>GI-2026-0001-10</v>
      </c>
      <c r="G8" s="9" t="str">
        <f>IF(C8="Receipt",INDEX('06_Put_Away'!$G:$G,MATCH(F8,'06_Put_Away'!$V:$V,0)),INDEX('09_Goods_Issue'!$G:$G,MATCH(F8,'09_Goods_Issue'!$Q:$Q,0)))</f>
        <v>MAT-00001</v>
      </c>
      <c r="H8" s="9" t="str">
        <f>INDEX('01_Master_Material'!$B:$B,MATCH(G8,'01_Master_Material'!$A:$A,0))</f>
        <v>Hydraulic Cylinder Seal Kit 80mm</v>
      </c>
      <c r="I8" s="10" t="str">
        <f>INDEX('01_Master_Material'!$D:$D,MATCH(G8,'01_Master_Material'!$A:$A,0))</f>
        <v>PCS</v>
      </c>
      <c r="J8" s="9" t="str">
        <f>IF(C8="Receipt",INDEX('06_Put_Away'!$O:$O,MATCH(F8,'06_Put_Away'!$V:$V,0)),INDEX('09_Goods_Issue'!$J:$J,MATCH(F8,'09_Goods_Issue'!$Q:$Q,0)))</f>
        <v>RCK-B-01-01</v>
      </c>
      <c r="K8" s="14">
        <f>IF(C8="Receipt",INDEX('06_Put_Away'!$L:$L,MATCH(F8,'06_Put_Away'!$V:$V,0)),0)</f>
        <v>0</v>
      </c>
      <c r="L8" s="14">
        <f>IF(C8="Issue",INDEX('09_Goods_Issue'!$M:$M,MATCH(F8,'09_Goods_Issue'!$Q:$Q,0)),0)</f>
        <v>4</v>
      </c>
      <c r="M8" s="24">
        <f t="shared" si="1"/>
        <v>-4</v>
      </c>
      <c r="N8" s="22" t="e">
        <f>SUMIFS($M$4:M8,$G$4:G8,G8)</f>
        <v>#REF!</v>
      </c>
      <c r="O8" s="21">
        <f>INDEX('01_Master_Material'!$G:$G,MATCH(G8,'01_Master_Material'!$A:$A,0))</f>
        <v>750000</v>
      </c>
      <c r="P8" s="13" t="e">
        <f t="shared" si="2"/>
        <v>#REF!</v>
      </c>
      <c r="Q8" s="6"/>
    </row>
    <row r="9" spans="1:17" x14ac:dyDescent="0.25">
      <c r="A9" s="7">
        <v>6</v>
      </c>
      <c r="B9" s="8">
        <v>46190</v>
      </c>
      <c r="C9" s="17" t="s">
        <v>388</v>
      </c>
      <c r="D9" s="6" t="s">
        <v>359</v>
      </c>
      <c r="E9" s="7">
        <v>20</v>
      </c>
      <c r="F9" s="20" t="str">
        <f t="shared" si="0"/>
        <v>GI-2026-0001-20</v>
      </c>
      <c r="G9" s="9" t="str">
        <f>IF(C9="Receipt",INDEX('06_Put_Away'!$G:$G,MATCH(F9,'06_Put_Away'!$V:$V,0)),INDEX('09_Goods_Issue'!$G:$G,MATCH(F9,'09_Goods_Issue'!$Q:$Q,0)))</f>
        <v>MAT-00008</v>
      </c>
      <c r="H9" s="9" t="str">
        <f>INDEX('01_Master_Material'!$B:$B,MATCH(G9,'01_Master_Material'!$A:$A,0))</f>
        <v>Hydraulic Hose 1/2in x 3m</v>
      </c>
      <c r="I9" s="10" t="str">
        <f>INDEX('01_Master_Material'!$D:$D,MATCH(G9,'01_Master_Material'!$A:$A,0))</f>
        <v>PCS</v>
      </c>
      <c r="J9" s="9" t="str">
        <f>IF(C9="Receipt",INDEX('06_Put_Away'!$O:$O,MATCH(F9,'06_Put_Away'!$V:$V,0)),INDEX('09_Goods_Issue'!$J:$J,MATCH(F9,'09_Goods_Issue'!$Q:$Q,0)))</f>
        <v>RCK-B-01-02</v>
      </c>
      <c r="K9" s="14">
        <f>IF(C9="Receipt",INDEX('06_Put_Away'!$L:$L,MATCH(F9,'06_Put_Away'!$V:$V,0)),0)</f>
        <v>0</v>
      </c>
      <c r="L9" s="14">
        <f>IF(C9="Issue",INDEX('09_Goods_Issue'!$M:$M,MATCH(F9,'09_Goods_Issue'!$Q:$Q,0)),0)</f>
        <v>19</v>
      </c>
      <c r="M9" s="24">
        <f t="shared" si="1"/>
        <v>-19</v>
      </c>
      <c r="N9" s="22" t="e">
        <f>SUMIFS($M$4:M9,$G$4:G9,G9)</f>
        <v>#REF!</v>
      </c>
      <c r="O9" s="21">
        <f>INDEX('01_Master_Material'!$G:$G,MATCH(G9,'01_Master_Material'!$A:$A,0))</f>
        <v>680000</v>
      </c>
      <c r="P9" s="13" t="e">
        <f t="shared" si="2"/>
        <v>#REF!</v>
      </c>
      <c r="Q9" s="6"/>
    </row>
    <row r="10" spans="1:17" x14ac:dyDescent="0.25">
      <c r="A10" s="7">
        <v>7</v>
      </c>
      <c r="B10" s="8">
        <v>46199</v>
      </c>
      <c r="C10" s="17" t="s">
        <v>387</v>
      </c>
      <c r="D10" s="6" t="s">
        <v>280</v>
      </c>
      <c r="E10" s="7">
        <v>10</v>
      </c>
      <c r="F10" s="20" t="str">
        <f t="shared" si="0"/>
        <v>PA-2026-0003-10</v>
      </c>
      <c r="G10" s="9" t="str">
        <f>IF(C10="Receipt",INDEX('06_Put_Away'!$G:$G,MATCH(F10,'06_Put_Away'!$V:$V,0)),INDEX('09_Goods_Issue'!$G:$G,MATCH(F10,'09_Goods_Issue'!$Q:$Q,0)))</f>
        <v>MAT-00004</v>
      </c>
      <c r="H10" s="9" t="str">
        <f>INDEX('01_Master_Material'!$B:$B,MATCH(G10,'01_Master_Material'!$A:$A,0))</f>
        <v>Hex Bolt M12x50 Grade 8.8</v>
      </c>
      <c r="I10" s="10" t="str">
        <f>INDEX('01_Master_Material'!$D:$D,MATCH(G10,'01_Master_Material'!$A:$A,0))</f>
        <v>PCS</v>
      </c>
      <c r="J10" s="9" t="str">
        <f>IF(C10="Receipt",INDEX('06_Put_Away'!$O:$O,MATCH(F10,'06_Put_Away'!$V:$V,0)),INDEX('09_Goods_Issue'!$J:$J,MATCH(F10,'09_Goods_Issue'!$Q:$Q,0)))</f>
        <v>HAZ-C-01</v>
      </c>
      <c r="K10" s="14" t="e">
        <f>IF(C10="Receipt",INDEX('06_Put_Away'!$L:$L,MATCH(F10,'06_Put_Away'!$V:$V,0)),0)</f>
        <v>#REF!</v>
      </c>
      <c r="L10" s="14">
        <f>IF(C10="Issue",INDEX('09_Goods_Issue'!$M:$M,MATCH(F10,'09_Goods_Issue'!$Q:$Q,0)),0)</f>
        <v>0</v>
      </c>
      <c r="M10" s="24" t="e">
        <f t="shared" si="1"/>
        <v>#REF!</v>
      </c>
      <c r="N10" s="22" t="e">
        <f>SUMIFS($M$4:M10,$G$4:G10,G10)</f>
        <v>#REF!</v>
      </c>
      <c r="O10" s="21">
        <f>INDEX('01_Master_Material'!$G:$G,MATCH(G10,'01_Master_Material'!$A:$A,0))</f>
        <v>8000</v>
      </c>
      <c r="P10" s="13" t="e">
        <f t="shared" si="2"/>
        <v>#REF!</v>
      </c>
      <c r="Q10" s="6" t="s">
        <v>389</v>
      </c>
    </row>
    <row r="11" spans="1:17" x14ac:dyDescent="0.25">
      <c r="A11" s="7">
        <v>8</v>
      </c>
      <c r="B11" s="8">
        <v>46201</v>
      </c>
      <c r="C11" s="17" t="s">
        <v>388</v>
      </c>
      <c r="D11" s="6" t="s">
        <v>364</v>
      </c>
      <c r="E11" s="7">
        <v>10</v>
      </c>
      <c r="F11" s="20" t="str">
        <f t="shared" si="0"/>
        <v>GI-2026-0003-10</v>
      </c>
      <c r="G11" s="9" t="str">
        <f>IF(C11="Receipt",INDEX('06_Put_Away'!$G:$G,MATCH(F11,'06_Put_Away'!$V:$V,0)),INDEX('09_Goods_Issue'!$G:$G,MATCH(F11,'09_Goods_Issue'!$Q:$Q,0)))</f>
        <v>MAT-00004</v>
      </c>
      <c r="H11" s="9" t="str">
        <f>INDEX('01_Master_Material'!$B:$B,MATCH(G11,'01_Master_Material'!$A:$A,0))</f>
        <v>Hex Bolt M12x50 Grade 8.8</v>
      </c>
      <c r="I11" s="10" t="str">
        <f>INDEX('01_Master_Material'!$D:$D,MATCH(G11,'01_Master_Material'!$A:$A,0))</f>
        <v>PCS</v>
      </c>
      <c r="J11" s="9" t="str">
        <f>IF(C11="Receipt",INDEX('06_Put_Away'!$O:$O,MATCH(F11,'06_Put_Away'!$V:$V,0)),INDEX('09_Goods_Issue'!$J:$J,MATCH(F11,'09_Goods_Issue'!$Q:$Q,0)))</f>
        <v>HAZ-C-01</v>
      </c>
      <c r="K11" s="14">
        <f>IF(C11="Receipt",INDEX('06_Put_Away'!$L:$L,MATCH(F11,'06_Put_Away'!$V:$V,0)),0)</f>
        <v>0</v>
      </c>
      <c r="L11" s="14">
        <f>IF(C11="Issue",INDEX('09_Goods_Issue'!$M:$M,MATCH(F11,'09_Goods_Issue'!$Q:$Q,0)),0)</f>
        <v>3000</v>
      </c>
      <c r="M11" s="24">
        <f t="shared" si="1"/>
        <v>-3000</v>
      </c>
      <c r="N11" s="22" t="e">
        <f>SUMIFS($M$4:M11,$G$4:G11,G11)</f>
        <v>#REF!</v>
      </c>
      <c r="O11" s="21">
        <f>INDEX('01_Master_Material'!$G:$G,MATCH(G11,'01_Master_Material'!$A:$A,0))</f>
        <v>8000</v>
      </c>
      <c r="P11" s="13" t="e">
        <f t="shared" si="2"/>
        <v>#REF!</v>
      </c>
      <c r="Q11" s="6"/>
    </row>
    <row r="12" spans="1:17" x14ac:dyDescent="0.25">
      <c r="A12" s="7">
        <v>9</v>
      </c>
      <c r="B12" s="8">
        <v>46202</v>
      </c>
      <c r="C12" s="17" t="s">
        <v>387</v>
      </c>
      <c r="D12" s="6" t="s">
        <v>282</v>
      </c>
      <c r="E12" s="7">
        <v>10</v>
      </c>
      <c r="F12" s="20" t="str">
        <f t="shared" si="0"/>
        <v>PA-2026-0004-10</v>
      </c>
      <c r="G12" s="9" t="str">
        <f>IF(C12="Receipt",INDEX('06_Put_Away'!$G:$G,MATCH(F12,'06_Put_Away'!$V:$V,0)),INDEX('09_Goods_Issue'!$G:$G,MATCH(F12,'09_Goods_Issue'!$Q:$Q,0)))</f>
        <v>MAT-00014</v>
      </c>
      <c r="H12" s="9" t="str">
        <f>INDEX('01_Master_Material'!$B:$B,MATCH(G12,'01_Master_Material'!$A:$A,0))</f>
        <v>Flat Washer M12 Zinc Plated</v>
      </c>
      <c r="I12" s="10" t="str">
        <f>INDEX('01_Master_Material'!$D:$D,MATCH(G12,'01_Master_Material'!$A:$A,0))</f>
        <v>PCS</v>
      </c>
      <c r="J12" s="9" t="str">
        <f>IF(C12="Receipt",INDEX('06_Put_Away'!$O:$O,MATCH(F12,'06_Put_Away'!$V:$V,0)),INDEX('09_Goods_Issue'!$J:$J,MATCH(F12,'09_Goods_Issue'!$Q:$Q,0)))</f>
        <v>RCK-B-02-01</v>
      </c>
      <c r="K12" s="14" t="e">
        <f>IF(C12="Receipt",INDEX('06_Put_Away'!$L:$L,MATCH(F12,'06_Put_Away'!$V:$V,0)),0)</f>
        <v>#REF!</v>
      </c>
      <c r="L12" s="14">
        <f>IF(C12="Issue",INDEX('09_Goods_Issue'!$M:$M,MATCH(F12,'09_Goods_Issue'!$Q:$Q,0)),0)</f>
        <v>0</v>
      </c>
      <c r="M12" s="24" t="e">
        <f t="shared" si="1"/>
        <v>#REF!</v>
      </c>
      <c r="N12" s="22" t="e">
        <f>SUMIFS($M$4:M12,$G$4:G12,G12)</f>
        <v>#REF!</v>
      </c>
      <c r="O12" s="21">
        <f>INDEX('01_Master_Material'!$G:$G,MATCH(G12,'01_Master_Material'!$A:$A,0))</f>
        <v>2000</v>
      </c>
      <c r="P12" s="13" t="e">
        <f t="shared" si="2"/>
        <v>#REF!</v>
      </c>
      <c r="Q12" s="6"/>
    </row>
    <row r="13" spans="1:17" x14ac:dyDescent="0.25">
      <c r="A13" s="7">
        <v>10</v>
      </c>
      <c r="B13" s="8">
        <v>46204</v>
      </c>
      <c r="C13" s="17" t="s">
        <v>388</v>
      </c>
      <c r="D13" s="6" t="s">
        <v>366</v>
      </c>
      <c r="E13" s="7">
        <v>10</v>
      </c>
      <c r="F13" s="20" t="str">
        <f t="shared" si="0"/>
        <v>GI-2026-0004-10</v>
      </c>
      <c r="G13" s="9" t="str">
        <f>IF(C13="Receipt",INDEX('06_Put_Away'!$G:$G,MATCH(F13,'06_Put_Away'!$V:$V,0)),INDEX('09_Goods_Issue'!$G:$G,MATCH(F13,'09_Goods_Issue'!$Q:$Q,0)))</f>
        <v>MAT-00014</v>
      </c>
      <c r="H13" s="9" t="str">
        <f>INDEX('01_Master_Material'!$B:$B,MATCH(G13,'01_Master_Material'!$A:$A,0))</f>
        <v>Flat Washer M12 Zinc Plated</v>
      </c>
      <c r="I13" s="10" t="str">
        <f>INDEX('01_Master_Material'!$D:$D,MATCH(G13,'01_Master_Material'!$A:$A,0))</f>
        <v>PCS</v>
      </c>
      <c r="J13" s="9" t="str">
        <f>IF(C13="Receipt",INDEX('06_Put_Away'!$O:$O,MATCH(F13,'06_Put_Away'!$V:$V,0)),INDEX('09_Goods_Issue'!$J:$J,MATCH(F13,'09_Goods_Issue'!$Q:$Q,0)))</f>
        <v>RCK-B-02-01</v>
      </c>
      <c r="K13" s="14">
        <f>IF(C13="Receipt",INDEX('06_Put_Away'!$L:$L,MATCH(F13,'06_Put_Away'!$V:$V,0)),0)</f>
        <v>0</v>
      </c>
      <c r="L13" s="14">
        <f>IF(C13="Issue",INDEX('09_Goods_Issue'!$M:$M,MATCH(F13,'09_Goods_Issue'!$Q:$Q,0)),0)</f>
        <v>8000</v>
      </c>
      <c r="M13" s="24">
        <f t="shared" si="1"/>
        <v>-8000</v>
      </c>
      <c r="N13" s="22" t="e">
        <f>SUMIFS($M$4:M13,$G$4:G13,G13)</f>
        <v>#REF!</v>
      </c>
      <c r="O13" s="21">
        <f>INDEX('01_Master_Material'!$G:$G,MATCH(G13,'01_Master_Material'!$A:$A,0))</f>
        <v>2000</v>
      </c>
      <c r="P13" s="13" t="e">
        <f t="shared" si="2"/>
        <v>#REF!</v>
      </c>
      <c r="Q13" s="6"/>
    </row>
    <row r="16" spans="1:17" x14ac:dyDescent="0.25">
      <c r="A16" s="4" t="s">
        <v>71</v>
      </c>
    </row>
    <row r="17" spans="1:1" x14ac:dyDescent="0.25">
      <c r="A17" s="5" t="s">
        <v>390</v>
      </c>
    </row>
    <row r="18" spans="1:1" x14ac:dyDescent="0.25">
      <c r="A18" s="5" t="s">
        <v>391</v>
      </c>
    </row>
    <row r="19" spans="1:1" x14ac:dyDescent="0.25">
      <c r="A19" s="5" t="s">
        <v>392</v>
      </c>
    </row>
    <row r="20" spans="1:1" x14ac:dyDescent="0.25">
      <c r="A20" s="5" t="s">
        <v>393</v>
      </c>
    </row>
    <row r="21" spans="1:1" x14ac:dyDescent="0.25">
      <c r="A21" s="5" t="s">
        <v>394</v>
      </c>
    </row>
    <row r="22" spans="1:1" x14ac:dyDescent="0.25">
      <c r="A22" s="5" t="s">
        <v>395</v>
      </c>
    </row>
  </sheetData>
  <mergeCells count="1">
    <mergeCell ref="A1:Q1"/>
  </mergeCells>
  <conditionalFormatting sqref="C4:C500">
    <cfRule type="expression" dxfId="14" priority="2">
      <formula>$C4="Receipt"</formula>
    </cfRule>
    <cfRule type="expression" dxfId="13" priority="3">
      <formula>$C4="Issue"</formula>
    </cfRule>
  </conditionalFormatting>
  <conditionalFormatting sqref="N4:N500">
    <cfRule type="expression" dxfId="12" priority="4">
      <formula>$N4&lt;0</formula>
    </cfRule>
  </conditionalFormatting>
  <dataValidations count="1">
    <dataValidation type="list" showInputMessage="1" showErrorMessage="1" errorTitle="Invalid entry" error="Please select a value from the list." promptTitle="Transaction Type" prompt="Select whether this is a stock-in (Receipt) or stock-out (Issue) transaction." sqref="C4:C500" xr:uid="{00000000-0002-0000-0900-000000000000}">
      <formula1>"Receipt,Issue"</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7"/>
  <sheetViews>
    <sheetView showGridLines="0" topLeftCell="G1" zoomScaleNormal="100" workbookViewId="0">
      <pane ySplit="3" topLeftCell="A4" activePane="bottomLeft" state="frozen"/>
      <selection pane="bottomLeft" activeCell="R7" sqref="R7"/>
    </sheetView>
  </sheetViews>
  <sheetFormatPr defaultColWidth="8.7109375" defaultRowHeight="15" x14ac:dyDescent="0.25"/>
  <cols>
    <col min="1" max="1" width="16" customWidth="1"/>
    <col min="2" max="2" width="10" customWidth="1"/>
    <col min="3" max="4" width="12" customWidth="1"/>
    <col min="5" max="5" width="30" customWidth="1"/>
    <col min="6" max="6" width="14" customWidth="1"/>
    <col min="7" max="8" width="16" customWidth="1"/>
    <col min="9" max="9" width="14" customWidth="1"/>
    <col min="10" max="11" width="12" customWidth="1"/>
    <col min="12" max="12" width="10" customWidth="1"/>
    <col min="13" max="13" width="12" customWidth="1"/>
    <col min="14" max="14" width="14" customWidth="1"/>
    <col min="15" max="15" width="12" customWidth="1"/>
    <col min="16" max="16" width="18" customWidth="1"/>
    <col min="17" max="17" width="20" customWidth="1"/>
    <col min="18" max="18" width="40" customWidth="1"/>
  </cols>
  <sheetData>
    <row r="1" spans="1:18" ht="24" customHeight="1" x14ac:dyDescent="0.25">
      <c r="A1" s="40" t="s">
        <v>396</v>
      </c>
      <c r="B1" s="40"/>
      <c r="C1" s="40"/>
      <c r="D1" s="40"/>
      <c r="E1" s="40"/>
      <c r="F1" s="40"/>
      <c r="G1" s="40"/>
      <c r="H1" s="40"/>
      <c r="I1" s="40"/>
      <c r="J1" s="40"/>
      <c r="K1" s="40"/>
      <c r="L1" s="40"/>
      <c r="M1" s="40"/>
      <c r="N1" s="40"/>
      <c r="O1" s="40"/>
      <c r="P1" s="40"/>
      <c r="Q1" s="40"/>
      <c r="R1" s="40"/>
    </row>
    <row r="3" spans="1:18" ht="31.5" customHeight="1" x14ac:dyDescent="0.25">
      <c r="A3" s="1" t="s">
        <v>397</v>
      </c>
      <c r="B3" s="1" t="s">
        <v>398</v>
      </c>
      <c r="C3" s="1" t="s">
        <v>399</v>
      </c>
      <c r="D3" s="1" t="s">
        <v>1</v>
      </c>
      <c r="E3" s="1" t="s">
        <v>2</v>
      </c>
      <c r="F3" s="1" t="s">
        <v>400</v>
      </c>
      <c r="G3" s="1" t="s">
        <v>401</v>
      </c>
      <c r="H3" s="1" t="s">
        <v>380</v>
      </c>
      <c r="I3" s="1" t="s">
        <v>402</v>
      </c>
      <c r="J3" s="1" t="s">
        <v>403</v>
      </c>
      <c r="K3" s="1" t="s">
        <v>404</v>
      </c>
      <c r="L3" s="1" t="s">
        <v>405</v>
      </c>
      <c r="M3" s="1" t="s">
        <v>385</v>
      </c>
      <c r="N3" s="1" t="s">
        <v>406</v>
      </c>
      <c r="O3" s="1" t="s">
        <v>407</v>
      </c>
      <c r="P3" s="1" t="s">
        <v>408</v>
      </c>
      <c r="Q3" s="1" t="s">
        <v>409</v>
      </c>
      <c r="R3" s="1" t="s">
        <v>204</v>
      </c>
    </row>
    <row r="4" spans="1:18" x14ac:dyDescent="0.25">
      <c r="A4" s="6" t="s">
        <v>410</v>
      </c>
      <c r="B4" s="7">
        <v>10</v>
      </c>
      <c r="C4" s="8">
        <v>46208</v>
      </c>
      <c r="D4" s="6" t="s">
        <v>14</v>
      </c>
      <c r="E4" s="9" t="str">
        <f>INDEX('01_Master_Material'!$B:$B,MATCH(D4,'01_Master_Material'!$A:$A,0))</f>
        <v>Hydraulic Cylinder Seal Kit 80mm</v>
      </c>
      <c r="F4" s="10" t="e">
        <f>INDEX('01_Master_Material'!#REF!,MATCH(D4,'01_Master_Material'!$A:$A,0))</f>
        <v>#REF!</v>
      </c>
      <c r="G4" s="25">
        <f>SUMPRODUCT(MAX(('10_Stock_Card'!$G$4:$G$13=D4)*ROW('10_Stock_Card'!$G$4:$G$13)))</f>
        <v>8</v>
      </c>
      <c r="H4" s="9" t="str">
        <f>INDEX('10_Stock_Card'!$J:$J,G4)</f>
        <v>RCK-B-01-01</v>
      </c>
      <c r="I4" s="14" t="e">
        <f>INDEX('10_Stock_Card'!$N:$N,G4)</f>
        <v>#REF!</v>
      </c>
      <c r="J4" s="11">
        <v>46</v>
      </c>
      <c r="K4" s="24" t="e">
        <f>J4-I4</f>
        <v>#REF!</v>
      </c>
      <c r="L4" s="16">
        <f>IFERROR(K4/I4,0)</f>
        <v>0</v>
      </c>
      <c r="M4" s="21">
        <f>INDEX('01_Master_Material'!$G:$G,MATCH(D4,'01_Master_Material'!$A:$A,0))</f>
        <v>750000</v>
      </c>
      <c r="N4" s="15" t="e">
        <f>K4*M4</f>
        <v>#REF!</v>
      </c>
      <c r="O4" s="19" t="e">
        <f>IF(K4=0,"Match",IF(K4&gt;0,"Overage","Shortage"))</f>
        <v>#REF!</v>
      </c>
      <c r="P4" s="6" t="s">
        <v>244</v>
      </c>
      <c r="Q4" s="17" t="s">
        <v>411</v>
      </c>
      <c r="R4" s="6"/>
    </row>
    <row r="5" spans="1:18" x14ac:dyDescent="0.25">
      <c r="A5" s="6" t="s">
        <v>410</v>
      </c>
      <c r="B5" s="7">
        <v>20</v>
      </c>
      <c r="C5" s="8">
        <v>46208</v>
      </c>
      <c r="D5" s="6" t="s">
        <v>42</v>
      </c>
      <c r="E5" s="9" t="str">
        <f>INDEX('01_Master_Material'!$B:$B,MATCH(D5,'01_Master_Material'!$A:$A,0))</f>
        <v>Hydraulic Hose 1/2in x 3m</v>
      </c>
      <c r="F5" s="10" t="e">
        <f>INDEX('01_Master_Material'!#REF!,MATCH(D5,'01_Master_Material'!$A:$A,0))</f>
        <v>#REF!</v>
      </c>
      <c r="G5" s="25">
        <f>SUMPRODUCT(MAX(('10_Stock_Card'!$G$4:$G$13=D5)*ROW('10_Stock_Card'!$G$4:$G$13)))</f>
        <v>9</v>
      </c>
      <c r="H5" s="9" t="str">
        <f>INDEX('10_Stock_Card'!$J:$J,G5)</f>
        <v>RCK-B-01-02</v>
      </c>
      <c r="I5" s="14" t="e">
        <f>INDEX('10_Stock_Card'!$N:$N,G5)</f>
        <v>#REF!</v>
      </c>
      <c r="J5" s="11">
        <v>9</v>
      </c>
      <c r="K5" s="24" t="e">
        <f>J5-I5</f>
        <v>#REF!</v>
      </c>
      <c r="L5" s="16">
        <f>IFERROR(K5/I5,0)</f>
        <v>0</v>
      </c>
      <c r="M5" s="21">
        <f>INDEX('01_Master_Material'!$G:$G,MATCH(D5,'01_Master_Material'!$A:$A,0))</f>
        <v>680000</v>
      </c>
      <c r="N5" s="15" t="e">
        <f>K5*M5</f>
        <v>#REF!</v>
      </c>
      <c r="O5" s="19" t="e">
        <f>IF(K5=0,"Match",IF(K5&gt;0,"Overage","Shortage"))</f>
        <v>#REF!</v>
      </c>
      <c r="P5" s="6" t="s">
        <v>244</v>
      </c>
      <c r="Q5" s="17" t="s">
        <v>411</v>
      </c>
      <c r="R5" s="6"/>
    </row>
    <row r="6" spans="1:18" x14ac:dyDescent="0.25">
      <c r="A6" s="6" t="s">
        <v>412</v>
      </c>
      <c r="B6" s="7">
        <v>10</v>
      </c>
      <c r="C6" s="8">
        <v>46209</v>
      </c>
      <c r="D6" s="6" t="s">
        <v>26</v>
      </c>
      <c r="E6" s="9" t="str">
        <f>INDEX('01_Master_Material'!$B:$B,MATCH(D6,'01_Master_Material'!$A:$A,0))</f>
        <v>Engine Oil Filter (Cat 320D)</v>
      </c>
      <c r="F6" s="10" t="e">
        <f>INDEX('01_Master_Material'!#REF!,MATCH(D6,'01_Master_Material'!$A:$A,0))</f>
        <v>#REF!</v>
      </c>
      <c r="G6" s="25">
        <f>SUMPRODUCT(MAX(('10_Stock_Card'!$G$4:$G$13=D6)*ROW('10_Stock_Card'!$G$4:$G$13)))</f>
        <v>5</v>
      </c>
      <c r="H6" s="9" t="str">
        <f>INDEX('10_Stock_Card'!$J:$J,G6)</f>
        <v>RCK-B-02-01</v>
      </c>
      <c r="I6" s="14" t="e">
        <f>INDEX('10_Stock_Card'!$N:$N,G6)</f>
        <v>#REF!</v>
      </c>
      <c r="J6" s="11">
        <v>45</v>
      </c>
      <c r="K6" s="24" t="e">
        <f>J6-I6</f>
        <v>#REF!</v>
      </c>
      <c r="L6" s="16">
        <f>IFERROR(K6/I6,0)</f>
        <v>0</v>
      </c>
      <c r="M6" s="21">
        <f>INDEX('01_Master_Material'!$G:$G,MATCH(D6,'01_Master_Material'!$A:$A,0))</f>
        <v>250000</v>
      </c>
      <c r="N6" s="15" t="e">
        <f>K6*M6</f>
        <v>#REF!</v>
      </c>
      <c r="O6" s="19" t="e">
        <f>IF(K6=0,"Match",IF(K6&gt;0,"Overage","Shortage"))</f>
        <v>#REF!</v>
      </c>
      <c r="P6" s="6" t="s">
        <v>413</v>
      </c>
      <c r="Q6" s="17" t="s">
        <v>414</v>
      </c>
      <c r="R6" s="6" t="s">
        <v>415</v>
      </c>
    </row>
    <row r="7" spans="1:18" x14ac:dyDescent="0.25">
      <c r="A7" s="6" t="s">
        <v>412</v>
      </c>
      <c r="B7" s="7">
        <v>20</v>
      </c>
      <c r="C7" s="8">
        <v>46209</v>
      </c>
      <c r="D7" s="6" t="s">
        <v>29</v>
      </c>
      <c r="E7" s="9" t="str">
        <f>INDEX('01_Master_Material'!$B:$B,MATCH(D7,'01_Master_Material'!$A:$A,0))</f>
        <v>Hex Bolt M12x50 Grade 8.8</v>
      </c>
      <c r="F7" s="10" t="e">
        <f>INDEX('01_Master_Material'!#REF!,MATCH(D7,'01_Master_Material'!$A:$A,0))</f>
        <v>#REF!</v>
      </c>
      <c r="G7" s="25">
        <f>SUMPRODUCT(MAX(('10_Stock_Card'!$G$4:$G$13=D7)*ROW('10_Stock_Card'!$G$4:$G$13)))</f>
        <v>11</v>
      </c>
      <c r="H7" s="9" t="str">
        <f>INDEX('10_Stock_Card'!$J:$J,G7)</f>
        <v>HAZ-C-01</v>
      </c>
      <c r="I7" s="14" t="e">
        <f>INDEX('10_Stock_Card'!$N:$N,G7)</f>
        <v>#REF!</v>
      </c>
      <c r="J7" s="11">
        <v>1995</v>
      </c>
      <c r="K7" s="24" t="e">
        <f>J7-I7</f>
        <v>#REF!</v>
      </c>
      <c r="L7" s="16">
        <f>IFERROR(K7/I7,0)</f>
        <v>0</v>
      </c>
      <c r="M7" s="21">
        <f>INDEX('01_Master_Material'!$G:$G,MATCH(D7,'01_Master_Material'!$A:$A,0))</f>
        <v>8000</v>
      </c>
      <c r="N7" s="15" t="e">
        <f>K7*M7</f>
        <v>#REF!</v>
      </c>
      <c r="O7" s="19" t="e">
        <f>IF(K7=0,"Match",IF(K7&gt;0,"Overage","Shortage"))</f>
        <v>#REF!</v>
      </c>
      <c r="P7" s="6" t="s">
        <v>416</v>
      </c>
      <c r="Q7" s="17" t="s">
        <v>417</v>
      </c>
      <c r="R7" s="6" t="s">
        <v>418</v>
      </c>
    </row>
    <row r="8" spans="1:18" x14ac:dyDescent="0.25">
      <c r="A8" s="6" t="s">
        <v>419</v>
      </c>
      <c r="B8" s="7">
        <v>10</v>
      </c>
      <c r="C8" s="8">
        <v>46210</v>
      </c>
      <c r="D8" s="6" t="s">
        <v>56</v>
      </c>
      <c r="E8" s="9" t="str">
        <f>INDEX('01_Master_Material'!$B:$B,MATCH(D8,'01_Master_Material'!$A:$A,0))</f>
        <v>Flat Washer M12 Zinc Plated</v>
      </c>
      <c r="F8" s="10" t="e">
        <f>INDEX('01_Master_Material'!#REF!,MATCH(D8,'01_Master_Material'!$A:$A,0))</f>
        <v>#REF!</v>
      </c>
      <c r="G8" s="25">
        <f>SUMPRODUCT(MAX(('10_Stock_Card'!$G$4:$G$13=D8)*ROW('10_Stock_Card'!$G$4:$G$13)))</f>
        <v>13</v>
      </c>
      <c r="H8" s="9" t="str">
        <f>INDEX('10_Stock_Card'!$J:$J,G8)</f>
        <v>RCK-B-02-01</v>
      </c>
      <c r="I8" s="14" t="e">
        <f>INDEX('10_Stock_Card'!$N:$N,G8)</f>
        <v>#REF!</v>
      </c>
      <c r="J8" s="11">
        <v>0</v>
      </c>
      <c r="K8" s="24" t="e">
        <f>J8-I8</f>
        <v>#REF!</v>
      </c>
      <c r="L8" s="16">
        <f>IFERROR(K8/I8,0)</f>
        <v>0</v>
      </c>
      <c r="M8" s="21">
        <f>INDEX('01_Master_Material'!$G:$G,MATCH(D8,'01_Master_Material'!$A:$A,0))</f>
        <v>2000</v>
      </c>
      <c r="N8" s="15" t="e">
        <f>K8*M8</f>
        <v>#REF!</v>
      </c>
      <c r="O8" s="19" t="e">
        <f>IF(K8=0,"Match",IF(K8&gt;0,"Overage","Shortage"))</f>
        <v>#REF!</v>
      </c>
      <c r="P8" s="6" t="s">
        <v>244</v>
      </c>
      <c r="Q8" s="17" t="s">
        <v>411</v>
      </c>
      <c r="R8" s="6" t="s">
        <v>420</v>
      </c>
    </row>
    <row r="11" spans="1:18" x14ac:dyDescent="0.25">
      <c r="A11" s="4" t="s">
        <v>71</v>
      </c>
    </row>
    <row r="12" spans="1:18" x14ac:dyDescent="0.25">
      <c r="A12" s="5" t="s">
        <v>421</v>
      </c>
    </row>
    <row r="13" spans="1:18" x14ac:dyDescent="0.25">
      <c r="A13" s="5" t="s">
        <v>422</v>
      </c>
    </row>
    <row r="14" spans="1:18" x14ac:dyDescent="0.25">
      <c r="A14" s="5" t="s">
        <v>423</v>
      </c>
    </row>
    <row r="15" spans="1:18" x14ac:dyDescent="0.25">
      <c r="A15" s="5" t="s">
        <v>424</v>
      </c>
    </row>
    <row r="16" spans="1:18" x14ac:dyDescent="0.25">
      <c r="A16" s="5" t="s">
        <v>425</v>
      </c>
    </row>
    <row r="17" spans="1:1" x14ac:dyDescent="0.25">
      <c r="A17" s="5" t="s">
        <v>426</v>
      </c>
    </row>
  </sheetData>
  <mergeCells count="1">
    <mergeCell ref="A1:R1"/>
  </mergeCells>
  <conditionalFormatting sqref="F4:F500">
    <cfRule type="expression" dxfId="11" priority="2">
      <formula>$F4="A"</formula>
    </cfRule>
  </conditionalFormatting>
  <conditionalFormatting sqref="O4:O500">
    <cfRule type="expression" dxfId="10" priority="3">
      <formula>$O4="Shortage"</formula>
    </cfRule>
    <cfRule type="expression" dxfId="9" priority="4">
      <formula>$O4="Overage"</formula>
    </cfRule>
    <cfRule type="expression" dxfId="8" priority="5">
      <formula>$O4="Match"</formula>
    </cfRule>
  </conditionalFormatting>
  <conditionalFormatting sqref="Q4:Q500">
    <cfRule type="expression" dxfId="7" priority="6">
      <formula>$Q4="Under Investigation"</formula>
    </cfRule>
  </conditionalFormatting>
  <dataValidations count="2">
    <dataValidation type="list" showInputMessage="1" showErrorMessage="1" errorTitle="Invalid entry" error="Please select a value from the list." promptTitle="Root Cause" prompt="Reason for any variance found." sqref="P4:P500" xr:uid="{00000000-0002-0000-0A00-000001000000}">
      <formula1>"N/A,Miscount,Data Entry Error,Damage Not Recorded,Theft/Loss Suspected,Location Mismatch"</formula1>
      <formula2>0</formula2>
    </dataValidation>
    <dataValidation type="list" showInputMessage="1" showErrorMessage="1" errorTitle="Invalid entry" error="Please select a value from the list." promptTitle="Adjustment Status" prompt="Has the Stock Card been corrected to reflect the physical count?" sqref="Q4:Q500" xr:uid="{00000000-0002-0000-0A00-000002000000}">
      <formula1>"No Adjustment Needed,Adjusted,Under Investigation"</formula1>
      <formula2>0</formula2>
    </dataValidation>
  </dataValidations>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showInputMessage="1" showErrorMessage="1" errorTitle="Invalid entry" error="Please select a value from the list." promptTitle="Material Code" prompt="Select a valid material code from the master." xr:uid="{00000000-0002-0000-0A00-000000000000}">
          <x14:formula1>
            <xm:f>'01_Master_Material'!$A$4:$A$23</xm:f>
          </x14:formula1>
          <x14:formula2>
            <xm:f>0</xm:f>
          </x14:formula2>
          <xm:sqref>D4:D500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9"/>
  <sheetViews>
    <sheetView showGridLines="0" zoomScaleNormal="100" workbookViewId="0">
      <pane ySplit="2" topLeftCell="A3" activePane="bottomLeft" state="frozen"/>
      <selection pane="bottomLeft" activeCell="C67" sqref="C67"/>
    </sheetView>
  </sheetViews>
  <sheetFormatPr defaultColWidth="8.7109375" defaultRowHeight="15" x14ac:dyDescent="0.25"/>
  <cols>
    <col min="1" max="1" width="24" customWidth="1"/>
    <col min="2" max="2" width="20" customWidth="1"/>
    <col min="3" max="3" width="16" customWidth="1"/>
    <col min="4" max="4" width="18" customWidth="1"/>
    <col min="5" max="7" width="16" customWidth="1"/>
  </cols>
  <sheetData>
    <row r="1" spans="1:14" ht="24" customHeight="1" x14ac:dyDescent="0.25">
      <c r="A1" s="40" t="s">
        <v>427</v>
      </c>
      <c r="B1" s="40"/>
      <c r="C1" s="40"/>
      <c r="D1" s="40"/>
      <c r="E1" s="40"/>
      <c r="F1" s="40"/>
      <c r="G1" s="40"/>
      <c r="H1" s="40"/>
      <c r="I1" s="40"/>
      <c r="J1" s="40"/>
      <c r="K1" s="40"/>
      <c r="L1" s="40"/>
      <c r="M1" s="40"/>
      <c r="N1" s="40"/>
    </row>
    <row r="3" spans="1:14" ht="19.5" customHeight="1" x14ac:dyDescent="0.25">
      <c r="A3" s="41" t="s">
        <v>428</v>
      </c>
      <c r="B3" s="41"/>
      <c r="C3" s="41"/>
      <c r="D3" s="41"/>
      <c r="E3" s="41"/>
      <c r="F3" s="41"/>
    </row>
    <row r="4" spans="1:14" ht="15.75" x14ac:dyDescent="0.25">
      <c r="A4" s="26" t="s">
        <v>429</v>
      </c>
      <c r="B4" s="27">
        <f>SUM('04_Purchase_Order'!K4:K13)</f>
        <v>32752</v>
      </c>
    </row>
    <row r="5" spans="1:14" ht="15.75" x14ac:dyDescent="0.25">
      <c r="A5" s="26" t="s">
        <v>430</v>
      </c>
      <c r="B5" s="28">
        <f>COUNTIF('05_Goods_Receipt'!U4:U8,"On-Time")/COUNTA('05_Goods_Receipt'!U4:U8)</f>
        <v>0.6</v>
      </c>
    </row>
    <row r="6" spans="1:14" ht="15.75" x14ac:dyDescent="0.25">
      <c r="A6" s="26" t="s">
        <v>431</v>
      </c>
      <c r="B6" s="28">
        <f>SUM('05_Goods_Receipt'!O4:O8)/SUM('05_Goods_Receipt'!M4:M8)</f>
        <v>1.5267175572519083E-2</v>
      </c>
    </row>
    <row r="7" spans="1:14" ht="15.75" x14ac:dyDescent="0.25">
      <c r="A7" s="26" t="s">
        <v>432</v>
      </c>
      <c r="B7" s="28">
        <f>AVERAGE('04_Purchase_Order'!O4:O13)</f>
        <v>0</v>
      </c>
    </row>
    <row r="8" spans="1:14" ht="15.75" x14ac:dyDescent="0.25">
      <c r="A8" s="26" t="s">
        <v>433</v>
      </c>
      <c r="B8" s="29">
        <f>AVERAGE('06_Put_Away'!T4:T8)</f>
        <v>1.8</v>
      </c>
    </row>
    <row r="9" spans="1:14" ht="15.75" x14ac:dyDescent="0.25">
      <c r="A9" s="26" t="s">
        <v>434</v>
      </c>
      <c r="B9" s="28">
        <f>COUNTIF('08_Picking_List'!Q4:Q8,"Fully Picked")/COUNTA('08_Picking_List'!Q4:Q8)</f>
        <v>0.8</v>
      </c>
    </row>
    <row r="10" spans="1:14" ht="15.75" x14ac:dyDescent="0.25">
      <c r="A10" s="26" t="s">
        <v>435</v>
      </c>
      <c r="B10" s="28">
        <f>COUNTIF('11_Cycle_Count'!O4:O8,"Match")/COUNTA('11_Cycle_Count'!O4:O8)</f>
        <v>0</v>
      </c>
    </row>
    <row r="11" spans="1:14" ht="15.75" x14ac:dyDescent="0.25">
      <c r="A11" s="26" t="s">
        <v>436</v>
      </c>
      <c r="B11" s="27" t="e">
        <f>G38</f>
        <v>#REF!</v>
      </c>
    </row>
    <row r="13" spans="1:14" ht="19.5" customHeight="1" x14ac:dyDescent="0.25">
      <c r="A13" s="41" t="s">
        <v>437</v>
      </c>
      <c r="B13" s="41"/>
      <c r="C13" s="41"/>
      <c r="D13" s="41"/>
      <c r="E13" s="41"/>
      <c r="F13" s="41"/>
    </row>
    <row r="14" spans="1:14" x14ac:dyDescent="0.25">
      <c r="A14" s="30" t="s">
        <v>13</v>
      </c>
      <c r="B14" s="30" t="s">
        <v>438</v>
      </c>
    </row>
    <row r="15" spans="1:14" x14ac:dyDescent="0.25">
      <c r="A15" s="26" t="s">
        <v>306</v>
      </c>
      <c r="B15" s="22">
        <f>COUNTIF('04_Purchase_Order'!T4:T13,"Open")</f>
        <v>4</v>
      </c>
    </row>
    <row r="16" spans="1:14" x14ac:dyDescent="0.25">
      <c r="A16" s="26" t="s">
        <v>439</v>
      </c>
      <c r="B16" s="22">
        <f>COUNTIF('04_Purchase_Order'!T4:T13,"Partially Received")</f>
        <v>2</v>
      </c>
    </row>
    <row r="17" spans="1:7" x14ac:dyDescent="0.25">
      <c r="A17" s="26" t="s">
        <v>440</v>
      </c>
      <c r="B17" s="22">
        <f>COUNTIF('04_Purchase_Order'!T4:T13,"Closed")</f>
        <v>3</v>
      </c>
    </row>
    <row r="18" spans="1:7" x14ac:dyDescent="0.25">
      <c r="A18" s="26" t="s">
        <v>441</v>
      </c>
      <c r="B18" s="22">
        <f>COUNTIF('04_Purchase_Order'!T4:T13,"Cancelled")</f>
        <v>1</v>
      </c>
    </row>
    <row r="20" spans="1:7" ht="19.5" customHeight="1" x14ac:dyDescent="0.25">
      <c r="A20" s="41" t="s">
        <v>442</v>
      </c>
      <c r="B20" s="41"/>
      <c r="C20" s="41"/>
      <c r="D20" s="41"/>
      <c r="E20" s="41"/>
      <c r="F20" s="41"/>
    </row>
    <row r="21" spans="1:7" x14ac:dyDescent="0.25">
      <c r="A21" s="30" t="s">
        <v>78</v>
      </c>
      <c r="B21" s="30" t="s">
        <v>79</v>
      </c>
      <c r="C21" s="30" t="s">
        <v>443</v>
      </c>
      <c r="D21" s="30" t="s">
        <v>444</v>
      </c>
    </row>
    <row r="22" spans="1:7" x14ac:dyDescent="0.25">
      <c r="A22" s="31" t="s">
        <v>24</v>
      </c>
      <c r="B22" s="32" t="str">
        <f>INDEX('02_Master_Supplier'!$B:$B,MATCH(A22,'02_Master_Supplier'!$A:$A,0))</f>
        <v>PT Krakatau Steel Distribusi</v>
      </c>
      <c r="C22" s="10" t="str">
        <f>INDEX('02_Master_Supplier'!$D:$D,MATCH(A22,'02_Master_Supplier'!$A:$A,0))</f>
        <v>Local</v>
      </c>
      <c r="D22" s="22">
        <f>SUMIF('04_Purchase_Order'!$D:$D,A22,'04_Purchase_Order'!$K:$K)</f>
        <v>9725</v>
      </c>
    </row>
    <row r="23" spans="1:7" x14ac:dyDescent="0.25">
      <c r="A23" s="31" t="s">
        <v>32</v>
      </c>
      <c r="B23" s="32" t="str">
        <f>INDEX('02_Master_Supplier'!$B:$B,MATCH(A23,'02_Master_Supplier'!$A:$A,0))</f>
        <v>PT Fastener Nusantara</v>
      </c>
      <c r="C23" s="10" t="str">
        <f>INDEX('02_Master_Supplier'!$D:$D,MATCH(A23,'02_Master_Supplier'!$A:$A,0))</f>
        <v>Local</v>
      </c>
      <c r="D23" s="22">
        <f>SUMIF('04_Purchase_Order'!$D:$D,A23,'04_Purchase_Order'!$K:$K)</f>
        <v>2067</v>
      </c>
    </row>
    <row r="24" spans="1:7" x14ac:dyDescent="0.25">
      <c r="A24" s="31" t="s">
        <v>18</v>
      </c>
      <c r="B24" s="32" t="str">
        <f>INDEX('02_Master_Supplier'!$B:$B,MATCH(A24,'02_Master_Supplier'!$A:$A,0))</f>
        <v>Komatsu Parts Indonesia</v>
      </c>
      <c r="C24" s="10" t="str">
        <f>INDEX('02_Master_Supplier'!$D:$D,MATCH(A24,'02_Master_Supplier'!$A:$A,0))</f>
        <v>Local</v>
      </c>
      <c r="D24" s="22">
        <f>SUMIF('04_Purchase_Order'!$D:$D,A24,'04_Purchase_Order'!$K:$K)</f>
        <v>9060</v>
      </c>
    </row>
    <row r="25" spans="1:7" x14ac:dyDescent="0.25">
      <c r="A25" s="31" t="s">
        <v>37</v>
      </c>
      <c r="B25" s="32" t="str">
        <f>INDEX('02_Master_Supplier'!$B:$B,MATCH(A25,'02_Master_Supplier'!$A:$A,0))</f>
        <v>PT Kimia Pelumas Industri</v>
      </c>
      <c r="C25" s="10" t="str">
        <f>INDEX('02_Master_Supplier'!$D:$D,MATCH(A25,'02_Master_Supplier'!$A:$A,0))</f>
        <v>Local</v>
      </c>
      <c r="D25" s="22">
        <f>SUMIF('04_Purchase_Order'!$D:$D,A25,'04_Purchase_Order'!$K:$K)</f>
        <v>0</v>
      </c>
    </row>
    <row r="26" spans="1:7" x14ac:dyDescent="0.25">
      <c r="A26" s="31" t="s">
        <v>28</v>
      </c>
      <c r="B26" s="32" t="str">
        <f>INDEX('02_Master_Supplier'!$B:$B,MATCH(A26,'02_Master_Supplier'!$A:$A,0))</f>
        <v>Caterpillar Engine Parts Distributor</v>
      </c>
      <c r="C26" s="10" t="str">
        <f>INDEX('02_Master_Supplier'!$D:$D,MATCH(A26,'02_Master_Supplier'!$A:$A,0))</f>
        <v>Import</v>
      </c>
      <c r="D26" s="22">
        <f>SUMIF('04_Purchase_Order'!$D:$D,A26,'04_Purchase_Order'!$K:$K)</f>
        <v>7200</v>
      </c>
    </row>
    <row r="27" spans="1:7" x14ac:dyDescent="0.25">
      <c r="A27" s="31" t="s">
        <v>51</v>
      </c>
      <c r="B27" s="32" t="str">
        <f>INDEX('02_Master_Supplier'!$B:$B,MATCH(A27,'02_Master_Supplier'!$A:$A,0))</f>
        <v>Original Equipment Spares Corp</v>
      </c>
      <c r="C27" s="10" t="str">
        <f>INDEX('02_Master_Supplier'!$D:$D,MATCH(A27,'02_Master_Supplier'!$A:$A,0))</f>
        <v>Import</v>
      </c>
      <c r="D27" s="22">
        <f>SUMIF('04_Purchase_Order'!$D:$D,A27,'04_Purchase_Order'!$K:$K)</f>
        <v>4700</v>
      </c>
    </row>
    <row r="28" spans="1:7" x14ac:dyDescent="0.25">
      <c r="A28" s="26" t="s">
        <v>445</v>
      </c>
      <c r="D28" s="22">
        <f>SUMIF(C22:C27,"Local",D22:D27)</f>
        <v>20852</v>
      </c>
    </row>
    <row r="29" spans="1:7" x14ac:dyDescent="0.25">
      <c r="A29" s="26" t="s">
        <v>446</v>
      </c>
      <c r="D29" s="22">
        <f>SUMIF(C22:C27,"Import",D22:D27)</f>
        <v>11900</v>
      </c>
    </row>
    <row r="31" spans="1:7" ht="19.5" customHeight="1" x14ac:dyDescent="0.25">
      <c r="A31" s="41" t="s">
        <v>447</v>
      </c>
      <c r="B31" s="41"/>
      <c r="C31" s="41"/>
      <c r="D31" s="41"/>
      <c r="E31" s="41"/>
      <c r="F31" s="41"/>
    </row>
    <row r="32" spans="1:7" ht="24" x14ac:dyDescent="0.25">
      <c r="A32" s="30" t="s">
        <v>1</v>
      </c>
      <c r="B32" s="30" t="s">
        <v>448</v>
      </c>
      <c r="C32" s="30" t="s">
        <v>449</v>
      </c>
      <c r="D32" s="30" t="s">
        <v>450</v>
      </c>
      <c r="E32" s="30" t="s">
        <v>451</v>
      </c>
      <c r="F32" s="30" t="s">
        <v>452</v>
      </c>
      <c r="G32" s="30" t="s">
        <v>453</v>
      </c>
    </row>
    <row r="33" spans="1:7" x14ac:dyDescent="0.25">
      <c r="A33" s="31" t="s">
        <v>14</v>
      </c>
      <c r="B33" s="32" t="str">
        <f>INDEX('01_Master_Material'!$B:$B,MATCH(A33,'01_Master_Material'!$A:$A,0))</f>
        <v>Hydraulic Cylinder Seal Kit 80mm</v>
      </c>
      <c r="C33" s="25">
        <f>SUMPRODUCT(MAX(('10_Stock_Card'!$G$4:$G$13=A33)*ROW('10_Stock_Card'!$G$4:$G$13)))</f>
        <v>8</v>
      </c>
      <c r="D33" s="14" t="e">
        <f>INDEX('10_Stock_Card'!$N:$N,C33)</f>
        <v>#REF!</v>
      </c>
      <c r="E33" s="32" t="str">
        <f>INDEX('10_Stock_Card'!$J:$J,C33)</f>
        <v>RCK-B-01-01</v>
      </c>
      <c r="F33" s="21">
        <f>INDEX('01_Master_Material'!$G:$G,MATCH(A33,'01_Master_Material'!$A:$A,0))</f>
        <v>750000</v>
      </c>
      <c r="G33" s="22" t="e">
        <f>D33*F33</f>
        <v>#REF!</v>
      </c>
    </row>
    <row r="34" spans="1:7" x14ac:dyDescent="0.25">
      <c r="A34" s="31" t="s">
        <v>26</v>
      </c>
      <c r="B34" s="32" t="str">
        <f>INDEX('01_Master_Material'!$B:$B,MATCH(A34,'01_Master_Material'!$A:$A,0))</f>
        <v>Engine Oil Filter (Cat 320D)</v>
      </c>
      <c r="C34" s="25">
        <f>SUMPRODUCT(MAX(('10_Stock_Card'!$G$4:$G$13=A34)*ROW('10_Stock_Card'!$G$4:$G$13)))</f>
        <v>5</v>
      </c>
      <c r="D34" s="14" t="e">
        <f>INDEX('10_Stock_Card'!$N:$N,C34)</f>
        <v>#REF!</v>
      </c>
      <c r="E34" s="32" t="str">
        <f>INDEX('10_Stock_Card'!$J:$J,C34)</f>
        <v>RCK-B-02-01</v>
      </c>
      <c r="F34" s="21">
        <f>INDEX('01_Master_Material'!$G:$G,MATCH(A34,'01_Master_Material'!$A:$A,0))</f>
        <v>250000</v>
      </c>
      <c r="G34" s="22" t="e">
        <f>D34*F34</f>
        <v>#REF!</v>
      </c>
    </row>
    <row r="35" spans="1:7" x14ac:dyDescent="0.25">
      <c r="A35" s="31" t="s">
        <v>29</v>
      </c>
      <c r="B35" s="32" t="str">
        <f>INDEX('01_Master_Material'!$B:$B,MATCH(A35,'01_Master_Material'!$A:$A,0))</f>
        <v>Hex Bolt M12x50 Grade 8.8</v>
      </c>
      <c r="C35" s="25">
        <f>SUMPRODUCT(MAX(('10_Stock_Card'!$G$4:$G$13=A35)*ROW('10_Stock_Card'!$G$4:$G$13)))</f>
        <v>11</v>
      </c>
      <c r="D35" s="14" t="e">
        <f>INDEX('10_Stock_Card'!$N:$N,C35)</f>
        <v>#REF!</v>
      </c>
      <c r="E35" s="32" t="str">
        <f>INDEX('10_Stock_Card'!$J:$J,C35)</f>
        <v>HAZ-C-01</v>
      </c>
      <c r="F35" s="21">
        <f>INDEX('01_Master_Material'!$G:$G,MATCH(A35,'01_Master_Material'!$A:$A,0))</f>
        <v>8000</v>
      </c>
      <c r="G35" s="22" t="e">
        <f>D35*F35</f>
        <v>#REF!</v>
      </c>
    </row>
    <row r="36" spans="1:7" x14ac:dyDescent="0.25">
      <c r="A36" s="31" t="s">
        <v>42</v>
      </c>
      <c r="B36" s="32" t="str">
        <f>INDEX('01_Master_Material'!$B:$B,MATCH(A36,'01_Master_Material'!$A:$A,0))</f>
        <v>Hydraulic Hose 1/2in x 3m</v>
      </c>
      <c r="C36" s="25">
        <f>SUMPRODUCT(MAX(('10_Stock_Card'!$G$4:$G$13=A36)*ROW('10_Stock_Card'!$G$4:$G$13)))</f>
        <v>9</v>
      </c>
      <c r="D36" s="14" t="e">
        <f>INDEX('10_Stock_Card'!$N:$N,C36)</f>
        <v>#REF!</v>
      </c>
      <c r="E36" s="32" t="str">
        <f>INDEX('10_Stock_Card'!$J:$J,C36)</f>
        <v>RCK-B-01-02</v>
      </c>
      <c r="F36" s="21">
        <f>INDEX('01_Master_Material'!$G:$G,MATCH(A36,'01_Master_Material'!$A:$A,0))</f>
        <v>680000</v>
      </c>
      <c r="G36" s="22" t="e">
        <f>D36*F36</f>
        <v>#REF!</v>
      </c>
    </row>
    <row r="37" spans="1:7" x14ac:dyDescent="0.25">
      <c r="A37" s="31" t="s">
        <v>56</v>
      </c>
      <c r="B37" s="32" t="str">
        <f>INDEX('01_Master_Material'!$B:$B,MATCH(A37,'01_Master_Material'!$A:$A,0))</f>
        <v>Flat Washer M12 Zinc Plated</v>
      </c>
      <c r="C37" s="25">
        <f>SUMPRODUCT(MAX(('10_Stock_Card'!$G$4:$G$13=A37)*ROW('10_Stock_Card'!$G$4:$G$13)))</f>
        <v>13</v>
      </c>
      <c r="D37" s="14" t="e">
        <f>INDEX('10_Stock_Card'!$N:$N,C37)</f>
        <v>#REF!</v>
      </c>
      <c r="E37" s="32" t="str">
        <f>INDEX('10_Stock_Card'!$J:$J,C37)</f>
        <v>RCK-B-02-01</v>
      </c>
      <c r="F37" s="21">
        <f>INDEX('01_Master_Material'!$G:$G,MATCH(A37,'01_Master_Material'!$A:$A,0))</f>
        <v>2000</v>
      </c>
      <c r="G37" s="22" t="e">
        <f>D37*F37</f>
        <v>#REF!</v>
      </c>
    </row>
    <row r="38" spans="1:7" x14ac:dyDescent="0.25">
      <c r="A38" s="33" t="s">
        <v>454</v>
      </c>
      <c r="G38" s="34" t="e">
        <f>SUM(G33:G37)</f>
        <v>#REF!</v>
      </c>
    </row>
    <row r="40" spans="1:7" ht="19.5" customHeight="1" x14ac:dyDescent="0.25">
      <c r="A40" s="41" t="s">
        <v>455</v>
      </c>
      <c r="B40" s="41"/>
      <c r="C40" s="41"/>
      <c r="D40" s="41"/>
      <c r="E40" s="41"/>
      <c r="F40" s="41"/>
    </row>
    <row r="41" spans="1:7" x14ac:dyDescent="0.25">
      <c r="A41" s="30" t="s">
        <v>148</v>
      </c>
      <c r="B41" s="30" t="s">
        <v>150</v>
      </c>
      <c r="C41" s="30" t="s">
        <v>456</v>
      </c>
      <c r="D41" s="30" t="s">
        <v>457</v>
      </c>
      <c r="E41" s="30" t="s">
        <v>458</v>
      </c>
    </row>
    <row r="42" spans="1:7" x14ac:dyDescent="0.25">
      <c r="A42" s="31" t="s">
        <v>154</v>
      </c>
      <c r="B42" s="32" t="str">
        <f>INDEX('03_Master_Location'!$C:$C,MATCH(A42,'03_Master_Location'!$A:$A,0))</f>
        <v>Receiving</v>
      </c>
      <c r="C42" s="14">
        <f>INDEX('03_Master_Location'!$F:$F,MATCH(A42,'03_Master_Location'!$A:$A,0))</f>
        <v>50</v>
      </c>
      <c r="D42" s="22">
        <f t="shared" ref="D42:D52" si="0">SUMIF($E$33:$E$37,A42,$D$33:$D$37)</f>
        <v>0</v>
      </c>
      <c r="E42" s="35">
        <f t="shared" ref="E42:E52" si="1">IFERROR(D42/C42,0)</f>
        <v>0</v>
      </c>
    </row>
    <row r="43" spans="1:7" x14ac:dyDescent="0.25">
      <c r="A43" s="31" t="s">
        <v>158</v>
      </c>
      <c r="B43" s="32" t="str">
        <f>INDEX('03_Master_Location'!$C:$C,MATCH(A43,'03_Master_Location'!$A:$A,0))</f>
        <v>Receiving</v>
      </c>
      <c r="C43" s="14">
        <f>INDEX('03_Master_Location'!$F:$F,MATCH(A43,'03_Master_Location'!$A:$A,0))</f>
        <v>20</v>
      </c>
      <c r="D43" s="22">
        <f t="shared" si="0"/>
        <v>0</v>
      </c>
      <c r="E43" s="35">
        <f t="shared" si="1"/>
        <v>0</v>
      </c>
    </row>
    <row r="44" spans="1:7" x14ac:dyDescent="0.25">
      <c r="A44" s="31" t="s">
        <v>160</v>
      </c>
      <c r="B44" s="32" t="str">
        <f>INDEX('03_Master_Location'!$C:$C,MATCH(A44,'03_Master_Location'!$A:$A,0))</f>
        <v>Storage</v>
      </c>
      <c r="C44" s="14">
        <f>INDEX('03_Master_Location'!$F:$F,MATCH(A44,'03_Master_Location'!$A:$A,0))</f>
        <v>40</v>
      </c>
      <c r="D44" s="22">
        <f t="shared" si="0"/>
        <v>0</v>
      </c>
      <c r="E44" s="35">
        <f t="shared" si="1"/>
        <v>0</v>
      </c>
    </row>
    <row r="45" spans="1:7" x14ac:dyDescent="0.25">
      <c r="A45" s="31" t="s">
        <v>164</v>
      </c>
      <c r="B45" s="32" t="str">
        <f>INDEX('03_Master_Location'!$C:$C,MATCH(A45,'03_Master_Location'!$A:$A,0))</f>
        <v>Storage</v>
      </c>
      <c r="C45" s="14">
        <f>INDEX('03_Master_Location'!$F:$F,MATCH(A45,'03_Master_Location'!$A:$A,0))</f>
        <v>40</v>
      </c>
      <c r="D45" s="22">
        <f t="shared" si="0"/>
        <v>0</v>
      </c>
      <c r="E45" s="35">
        <f t="shared" si="1"/>
        <v>0</v>
      </c>
    </row>
    <row r="46" spans="1:7" x14ac:dyDescent="0.25">
      <c r="A46" s="31" t="s">
        <v>166</v>
      </c>
      <c r="B46" s="32" t="str">
        <f>INDEX('03_Master_Location'!$C:$C,MATCH(A46,'03_Master_Location'!$A:$A,0))</f>
        <v>Storage</v>
      </c>
      <c r="C46" s="14">
        <f>INDEX('03_Master_Location'!$F:$F,MATCH(A46,'03_Master_Location'!$A:$A,0))</f>
        <v>200</v>
      </c>
      <c r="D46" s="22" t="e">
        <f t="shared" si="0"/>
        <v>#REF!</v>
      </c>
      <c r="E46" s="35">
        <f t="shared" si="1"/>
        <v>0</v>
      </c>
    </row>
    <row r="47" spans="1:7" x14ac:dyDescent="0.25">
      <c r="A47" s="31" t="s">
        <v>168</v>
      </c>
      <c r="B47" s="32" t="str">
        <f>INDEX('03_Master_Location'!$C:$C,MATCH(A47,'03_Master_Location'!$A:$A,0))</f>
        <v>Storage</v>
      </c>
      <c r="C47" s="14">
        <f>INDEX('03_Master_Location'!$F:$F,MATCH(A47,'03_Master_Location'!$A:$A,0))</f>
        <v>200</v>
      </c>
      <c r="D47" s="22" t="e">
        <f t="shared" si="0"/>
        <v>#REF!</v>
      </c>
      <c r="E47" s="35">
        <f t="shared" si="1"/>
        <v>0</v>
      </c>
    </row>
    <row r="48" spans="1:7" x14ac:dyDescent="0.25">
      <c r="A48" s="31" t="s">
        <v>170</v>
      </c>
      <c r="B48" s="32" t="str">
        <f>INDEX('03_Master_Location'!$C:$C,MATCH(A48,'03_Master_Location'!$A:$A,0))</f>
        <v>Storage</v>
      </c>
      <c r="C48" s="14">
        <f>INDEX('03_Master_Location'!$F:$F,MATCH(A48,'03_Master_Location'!$A:$A,0))</f>
        <v>200</v>
      </c>
      <c r="D48" s="22" t="e">
        <f t="shared" si="0"/>
        <v>#REF!</v>
      </c>
      <c r="E48" s="35">
        <f t="shared" si="1"/>
        <v>0</v>
      </c>
    </row>
    <row r="49" spans="1:6" x14ac:dyDescent="0.25">
      <c r="A49" s="31" t="s">
        <v>172</v>
      </c>
      <c r="B49" s="32" t="str">
        <f>INDEX('03_Master_Location'!$C:$C,MATCH(A49,'03_Master_Location'!$A:$A,0))</f>
        <v>Storage</v>
      </c>
      <c r="C49" s="14">
        <f>INDEX('03_Master_Location'!$F:$F,MATCH(A49,'03_Master_Location'!$A:$A,0))</f>
        <v>60</v>
      </c>
      <c r="D49" s="22" t="e">
        <f t="shared" si="0"/>
        <v>#REF!</v>
      </c>
      <c r="E49" s="35">
        <f t="shared" si="1"/>
        <v>0</v>
      </c>
    </row>
    <row r="50" spans="1:6" x14ac:dyDescent="0.25">
      <c r="A50" s="31" t="s">
        <v>174</v>
      </c>
      <c r="B50" s="32" t="str">
        <f>INDEX('03_Master_Location'!$C:$C,MATCH(A50,'03_Master_Location'!$A:$A,0))</f>
        <v>Quarantine/QC Hold</v>
      </c>
      <c r="C50" s="14">
        <f>INDEX('03_Master_Location'!$F:$F,MATCH(A50,'03_Master_Location'!$A:$A,0))</f>
        <v>30</v>
      </c>
      <c r="D50" s="22">
        <f t="shared" si="0"/>
        <v>0</v>
      </c>
      <c r="E50" s="35">
        <f t="shared" si="1"/>
        <v>0</v>
      </c>
    </row>
    <row r="51" spans="1:6" x14ac:dyDescent="0.25">
      <c r="A51" s="31" t="s">
        <v>177</v>
      </c>
      <c r="B51" s="32" t="str">
        <f>INDEX('03_Master_Location'!$C:$C,MATCH(A51,'03_Master_Location'!$A:$A,0))</f>
        <v>Shipping/Staging</v>
      </c>
      <c r="C51" s="14">
        <f>INDEX('03_Master_Location'!$F:$F,MATCH(A51,'03_Master_Location'!$A:$A,0))</f>
        <v>50</v>
      </c>
      <c r="D51" s="22">
        <f t="shared" si="0"/>
        <v>0</v>
      </c>
      <c r="E51" s="35">
        <f t="shared" si="1"/>
        <v>0</v>
      </c>
    </row>
    <row r="52" spans="1:6" x14ac:dyDescent="0.25">
      <c r="A52" s="31" t="s">
        <v>180</v>
      </c>
      <c r="B52" s="32" t="str">
        <f>INDEX('03_Master_Location'!$C:$C,MATCH(A52,'03_Master_Location'!$A:$A,0))</f>
        <v>Storage</v>
      </c>
      <c r="C52" s="14">
        <f>INDEX('03_Master_Location'!$F:$F,MATCH(A52,'03_Master_Location'!$A:$A,0))</f>
        <v>200</v>
      </c>
      <c r="D52" s="22">
        <f t="shared" si="0"/>
        <v>0</v>
      </c>
      <c r="E52" s="35">
        <f t="shared" si="1"/>
        <v>0</v>
      </c>
    </row>
    <row r="54" spans="1:6" ht="19.5" customHeight="1" x14ac:dyDescent="0.25">
      <c r="A54" s="41" t="s">
        <v>459</v>
      </c>
      <c r="B54" s="41"/>
      <c r="C54" s="41"/>
      <c r="D54" s="41"/>
      <c r="E54" s="41"/>
      <c r="F54" s="41"/>
    </row>
    <row r="55" spans="1:6" ht="15.75" x14ac:dyDescent="0.25">
      <c r="A55" s="26" t="s">
        <v>460</v>
      </c>
      <c r="B55" s="27">
        <f>COUNTIF('04_Purchase_Order'!P4:P13,"Urgent")</f>
        <v>2</v>
      </c>
    </row>
    <row r="56" spans="1:6" ht="15.75" x14ac:dyDescent="0.25">
      <c r="A56" s="26" t="s">
        <v>461</v>
      </c>
      <c r="B56" s="27">
        <f>COUNTIF('07_Material_Request'!I4:I8,"Urgent")</f>
        <v>1</v>
      </c>
    </row>
    <row r="57" spans="1:6" ht="15.75" x14ac:dyDescent="0.25">
      <c r="A57" s="26" t="s">
        <v>462</v>
      </c>
      <c r="B57" s="28">
        <f>COUNTIF('07_Material_Request'!N4:N8,"Sufficient")/COUNTA('07_Material_Request'!N4:N8)</f>
        <v>0</v>
      </c>
    </row>
    <row r="58" spans="1:6" ht="15.75" x14ac:dyDescent="0.25">
      <c r="A58" s="26" t="s">
        <v>463</v>
      </c>
      <c r="B58" s="28">
        <f>COUNTIF('09_Goods_Issue'!O4:O8,"&lt;&gt;N/A")/COUNTA('09_Goods_Issue'!O4:O8)</f>
        <v>0.2</v>
      </c>
    </row>
    <row r="59" spans="1:6" ht="15.75" x14ac:dyDescent="0.25">
      <c r="A59" s="26" t="s">
        <v>464</v>
      </c>
      <c r="B59" s="28">
        <f>COUNTIF('06_Put_Away'!Q4:Q8,"Match")/COUNTA('06_Put_Away'!Q4:Q8)</f>
        <v>0.8</v>
      </c>
    </row>
    <row r="60" spans="1:6" ht="15.75" x14ac:dyDescent="0.25">
      <c r="A60" s="26" t="s">
        <v>465</v>
      </c>
      <c r="B60" s="27" t="e">
        <f>SUM('11_Cycle_Count'!N4:N8)</f>
        <v>#REF!</v>
      </c>
    </row>
    <row r="63" spans="1:6" x14ac:dyDescent="0.25">
      <c r="A63" s="4" t="s">
        <v>71</v>
      </c>
    </row>
    <row r="64" spans="1:6" x14ac:dyDescent="0.25">
      <c r="A64" s="5" t="s">
        <v>466</v>
      </c>
    </row>
    <row r="65" spans="1:1" x14ac:dyDescent="0.25">
      <c r="A65" s="5" t="s">
        <v>467</v>
      </c>
    </row>
    <row r="66" spans="1:1" x14ac:dyDescent="0.25">
      <c r="A66" s="5" t="s">
        <v>468</v>
      </c>
    </row>
    <row r="67" spans="1:1" x14ac:dyDescent="0.25">
      <c r="A67" s="5" t="s">
        <v>469</v>
      </c>
    </row>
    <row r="68" spans="1:1" x14ac:dyDescent="0.25">
      <c r="A68" s="5" t="s">
        <v>470</v>
      </c>
    </row>
    <row r="69" spans="1:1" x14ac:dyDescent="0.25">
      <c r="A69" s="5" t="s">
        <v>471</v>
      </c>
    </row>
  </sheetData>
  <mergeCells count="7">
    <mergeCell ref="A40:F40"/>
    <mergeCell ref="A54:F54"/>
    <mergeCell ref="A1:N1"/>
    <mergeCell ref="A3:F3"/>
    <mergeCell ref="A13:F13"/>
    <mergeCell ref="A20:F20"/>
    <mergeCell ref="A31:F31"/>
  </mergeCells>
  <conditionalFormatting sqref="A15:A18">
    <cfRule type="expression" dxfId="6" priority="2">
      <formula>$A15="Open"</formula>
    </cfRule>
    <cfRule type="expression" dxfId="5" priority="3">
      <formula>$A15="Cancelled"</formula>
    </cfRule>
  </conditionalFormatting>
  <conditionalFormatting sqref="E42:E52">
    <cfRule type="expression" dxfId="4" priority="4">
      <formula>$E42&gt;1</formula>
    </cfRule>
    <cfRule type="expression" dxfId="3" priority="5">
      <formula>$E42&gt;0.8</formula>
    </cfRule>
  </conditionalFormatting>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01_Master_Material</vt:lpstr>
      <vt:lpstr>02_Master_Supplier</vt:lpstr>
      <vt:lpstr>03_Master_Location</vt:lpstr>
      <vt:lpstr>04_Purchase_Order</vt:lpstr>
      <vt:lpstr>05_Goods_Receipt</vt:lpstr>
      <vt:lpstr>06_Put_Away</vt:lpstr>
      <vt:lpstr>07_Material_Request</vt:lpstr>
      <vt:lpstr>08_Picking_List</vt:lpstr>
      <vt:lpstr>09_Goods_Issue</vt:lpstr>
      <vt:lpstr>10_Stock_Card</vt:lpstr>
      <vt:lpstr>11_Cycle_Count</vt:lpstr>
      <vt:lpstr>12_Dashboard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Fikri F</cp:lastModifiedBy>
  <cp:revision>1</cp:revision>
  <dcterms:created xsi:type="dcterms:W3CDTF">2026-07-24T04:03:03Z</dcterms:created>
  <dcterms:modified xsi:type="dcterms:W3CDTF">2026-07-30T01:53:05Z</dcterms:modified>
  <dc:language>en-US</dc:language>
</cp:coreProperties>
</file>