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Upgrade skill\1. Excel - Data Analytics\Project\"/>
    </mc:Choice>
  </mc:AlternateContent>
  <xr:revisionPtr revIDLastSave="0" documentId="13_ncr:1_{4F0BB896-0B68-4B93-9E71-6D45D5D9B114}" xr6:coauthVersionLast="47" xr6:coauthVersionMax="47" xr10:uidLastSave="{00000000-0000-0000-0000-000000000000}"/>
  <bookViews>
    <workbookView xWindow="-120" yWindow="-120" windowWidth="21840" windowHeight="13140" tabRatio="500" xr2:uid="{00000000-000D-0000-FFFF-FFFF00000000}"/>
  </bookViews>
  <sheets>
    <sheet name="01_Master_Material" sheetId="1" r:id="rId1"/>
    <sheet name="02_Master_Supplier" sheetId="2" r:id="rId2"/>
    <sheet name="03_Master_Location" sheetId="3" r:id="rId3"/>
    <sheet name="04_Purchase_Order" sheetId="4" r:id="rId4"/>
    <sheet name="05_Goods_Receipt" sheetId="5" r:id="rId5"/>
    <sheet name="06_Put_Away" sheetId="6" r:id="rId6"/>
    <sheet name="07_Material_Request" sheetId="7" r:id="rId7"/>
    <sheet name="08_Picking_List" sheetId="8" r:id="rId8"/>
    <sheet name="09_Goods_Issue" sheetId="9" r:id="rId9"/>
    <sheet name="10_Stock_Card" sheetId="10" r:id="rId10"/>
    <sheet name="11_Cycle_Count" sheetId="11" r:id="rId11"/>
    <sheet name="12_Dashboard" sheetId="12" r:id="rId12"/>
  </sheets>
  <externalReferences>
    <externalReference r:id="rId13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U5" i="9" l="1"/>
  <c r="U6" i="9"/>
  <c r="U7" i="9"/>
  <c r="U8" i="9"/>
  <c r="U9" i="9"/>
  <c r="U10" i="9"/>
  <c r="U11" i="9"/>
  <c r="U12" i="9"/>
  <c r="U13" i="9"/>
  <c r="U14" i="9"/>
  <c r="U15" i="9"/>
  <c r="U4" i="9"/>
  <c r="H15" i="9"/>
  <c r="I15" i="9" s="1"/>
  <c r="H14" i="9"/>
  <c r="M14" i="9" s="1"/>
  <c r="G14" i="9"/>
  <c r="H13" i="9"/>
  <c r="I13" i="9" s="1"/>
  <c r="N12" i="9"/>
  <c r="P12" i="9" s="1"/>
  <c r="H12" i="9"/>
  <c r="L12" i="9" s="1"/>
  <c r="G12" i="9"/>
  <c r="F12" i="9"/>
  <c r="N11" i="9"/>
  <c r="P11" i="9" s="1"/>
  <c r="I11" i="9"/>
  <c r="J11" i="9" s="1"/>
  <c r="H11" i="9"/>
  <c r="M11" i="9" s="1"/>
  <c r="G11" i="9"/>
  <c r="F11" i="9"/>
  <c r="N10" i="9"/>
  <c r="Q10" i="9" s="1"/>
  <c r="M10" i="9"/>
  <c r="L10" i="9"/>
  <c r="I10" i="9"/>
  <c r="K10" i="9" s="1"/>
  <c r="H10" i="9"/>
  <c r="G10" i="9" s="1"/>
  <c r="F10" i="9"/>
  <c r="H9" i="9"/>
  <c r="L9" i="9" s="1"/>
  <c r="G9" i="9"/>
  <c r="H8" i="9"/>
  <c r="N8" i="9" s="1"/>
  <c r="G8" i="9"/>
  <c r="N7" i="9"/>
  <c r="P7" i="9" s="1"/>
  <c r="M7" i="9"/>
  <c r="H7" i="9"/>
  <c r="I7" i="9" s="1"/>
  <c r="G7" i="9"/>
  <c r="F7" i="9"/>
  <c r="H6" i="9"/>
  <c r="M6" i="9" s="1"/>
  <c r="H5" i="9"/>
  <c r="G5" i="9" s="1"/>
  <c r="H4" i="9"/>
  <c r="M4" i="9" s="1"/>
  <c r="S15" i="8"/>
  <c r="K15" i="8"/>
  <c r="H15" i="8"/>
  <c r="F15" i="8"/>
  <c r="I15" i="8" s="1"/>
  <c r="S14" i="8"/>
  <c r="F14" i="8"/>
  <c r="L14" i="8" s="1"/>
  <c r="P14" i="8" s="1"/>
  <c r="S13" i="8"/>
  <c r="I13" i="8"/>
  <c r="F13" i="8"/>
  <c r="G13" i="8" s="1"/>
  <c r="S12" i="8"/>
  <c r="L12" i="8"/>
  <c r="P12" i="8" s="1"/>
  <c r="I12" i="8"/>
  <c r="F12" i="8"/>
  <c r="J12" i="8" s="1"/>
  <c r="S11" i="8"/>
  <c r="F11" i="8"/>
  <c r="L11" i="8" s="1"/>
  <c r="P11" i="8" s="1"/>
  <c r="S10" i="8"/>
  <c r="L10" i="8"/>
  <c r="P10" i="8" s="1"/>
  <c r="K10" i="8"/>
  <c r="J10" i="8"/>
  <c r="I10" i="8"/>
  <c r="H10" i="8"/>
  <c r="G10" i="8"/>
  <c r="M10" i="8" s="1"/>
  <c r="F10" i="8"/>
  <c r="S9" i="8"/>
  <c r="J9" i="8"/>
  <c r="G9" i="8"/>
  <c r="M9" i="8" s="1"/>
  <c r="F9" i="8"/>
  <c r="H9" i="8" s="1"/>
  <c r="S8" i="8"/>
  <c r="L8" i="8"/>
  <c r="P8" i="8" s="1"/>
  <c r="I8" i="8"/>
  <c r="G8" i="8"/>
  <c r="M8" i="8" s="1"/>
  <c r="F8" i="8"/>
  <c r="J8" i="8" s="1"/>
  <c r="S7" i="8"/>
  <c r="F7" i="8"/>
  <c r="L7" i="8" s="1"/>
  <c r="P7" i="8" s="1"/>
  <c r="S6" i="8"/>
  <c r="L6" i="8"/>
  <c r="P6" i="8" s="1"/>
  <c r="K6" i="8"/>
  <c r="J6" i="8"/>
  <c r="I6" i="8"/>
  <c r="H6" i="8"/>
  <c r="G6" i="8"/>
  <c r="M6" i="8" s="1"/>
  <c r="F6" i="8"/>
  <c r="S5" i="8"/>
  <c r="J5" i="8"/>
  <c r="G5" i="8"/>
  <c r="M5" i="8" s="1"/>
  <c r="F5" i="8"/>
  <c r="H5" i="8" s="1"/>
  <c r="S4" i="8"/>
  <c r="K4" i="8"/>
  <c r="F4" i="8"/>
  <c r="R18" i="7"/>
  <c r="O18" i="7"/>
  <c r="I18" i="7"/>
  <c r="H18" i="7"/>
  <c r="R17" i="7"/>
  <c r="O17" i="7"/>
  <c r="I17" i="7"/>
  <c r="H17" i="7"/>
  <c r="R16" i="7"/>
  <c r="O16" i="7"/>
  <c r="I16" i="7"/>
  <c r="H16" i="7"/>
  <c r="R15" i="7"/>
  <c r="O15" i="7"/>
  <c r="I15" i="7"/>
  <c r="H15" i="7"/>
  <c r="R14" i="7"/>
  <c r="I14" i="7"/>
  <c r="H14" i="7"/>
  <c r="R13" i="7"/>
  <c r="I13" i="7"/>
  <c r="H13" i="7"/>
  <c r="R12" i="7"/>
  <c r="I12" i="7"/>
  <c r="H12" i="7"/>
  <c r="R11" i="7"/>
  <c r="I11" i="7"/>
  <c r="H11" i="7"/>
  <c r="R10" i="7"/>
  <c r="I10" i="7"/>
  <c r="H10" i="7"/>
  <c r="R9" i="7"/>
  <c r="I9" i="7"/>
  <c r="H9" i="7"/>
  <c r="R8" i="7"/>
  <c r="I8" i="7"/>
  <c r="H8" i="7"/>
  <c r="R7" i="7"/>
  <c r="I7" i="7"/>
  <c r="H7" i="7"/>
  <c r="R6" i="7"/>
  <c r="I6" i="7"/>
  <c r="H6" i="7"/>
  <c r="R5" i="7"/>
  <c r="I5" i="7"/>
  <c r="H5" i="7"/>
  <c r="R4" i="7"/>
  <c r="O4" i="7"/>
  <c r="M4" i="7"/>
  <c r="I4" i="7"/>
  <c r="H4" i="7"/>
  <c r="I5" i="9" l="1"/>
  <c r="K5" i="9" s="1"/>
  <c r="L5" i="9"/>
  <c r="M5" i="9"/>
  <c r="L15" i="9"/>
  <c r="N5" i="9"/>
  <c r="Q5" i="9" s="1"/>
  <c r="F5" i="9"/>
  <c r="L13" i="9"/>
  <c r="J7" i="9"/>
  <c r="K7" i="9"/>
  <c r="P8" i="9"/>
  <c r="Q8" i="9"/>
  <c r="K15" i="9"/>
  <c r="J15" i="9"/>
  <c r="K13" i="9"/>
  <c r="J13" i="9"/>
  <c r="F4" i="9"/>
  <c r="N4" i="9"/>
  <c r="J5" i="9"/>
  <c r="F6" i="9"/>
  <c r="N6" i="9"/>
  <c r="M9" i="9"/>
  <c r="J10" i="9"/>
  <c r="G4" i="9"/>
  <c r="G6" i="9"/>
  <c r="L7" i="9"/>
  <c r="I8" i="9"/>
  <c r="F9" i="9"/>
  <c r="N9" i="9"/>
  <c r="Q11" i="9"/>
  <c r="M12" i="9"/>
  <c r="F14" i="9"/>
  <c r="N14" i="9"/>
  <c r="I4" i="9"/>
  <c r="I6" i="9"/>
  <c r="K11" i="9"/>
  <c r="Q12" i="9"/>
  <c r="M13" i="9"/>
  <c r="I14" i="9"/>
  <c r="M15" i="9"/>
  <c r="P5" i="9"/>
  <c r="Q7" i="9"/>
  <c r="M8" i="9"/>
  <c r="P10" i="9"/>
  <c r="L11" i="9"/>
  <c r="I12" i="9"/>
  <c r="F13" i="9"/>
  <c r="N13" i="9"/>
  <c r="F15" i="9"/>
  <c r="N15" i="9"/>
  <c r="L8" i="9"/>
  <c r="I9" i="9"/>
  <c r="L4" i="9"/>
  <c r="L6" i="9"/>
  <c r="F8" i="9"/>
  <c r="G13" i="9"/>
  <c r="G15" i="9"/>
  <c r="L14" i="9"/>
  <c r="N13" i="8"/>
  <c r="M13" i="8"/>
  <c r="J4" i="8"/>
  <c r="I5" i="8"/>
  <c r="K8" i="8"/>
  <c r="I9" i="8"/>
  <c r="K12" i="8"/>
  <c r="H13" i="8"/>
  <c r="J15" i="8"/>
  <c r="L4" i="8"/>
  <c r="P4" i="8" s="1"/>
  <c r="K5" i="8"/>
  <c r="G7" i="8"/>
  <c r="M7" i="8" s="1"/>
  <c r="K9" i="8"/>
  <c r="G11" i="8"/>
  <c r="M11" i="8" s="1"/>
  <c r="J13" i="8"/>
  <c r="G14" i="8"/>
  <c r="L15" i="8"/>
  <c r="P15" i="8" s="1"/>
  <c r="L5" i="8"/>
  <c r="P5" i="8" s="1"/>
  <c r="H7" i="8"/>
  <c r="L9" i="8"/>
  <c r="P9" i="8" s="1"/>
  <c r="H11" i="8"/>
  <c r="K13" i="8"/>
  <c r="H14" i="8"/>
  <c r="I7" i="8"/>
  <c r="I11" i="8"/>
  <c r="G12" i="8"/>
  <c r="L13" i="8"/>
  <c r="P13" i="8" s="1"/>
  <c r="I14" i="8"/>
  <c r="G4" i="8"/>
  <c r="J7" i="8"/>
  <c r="H8" i="8"/>
  <c r="J11" i="8"/>
  <c r="H12" i="8"/>
  <c r="J14" i="8"/>
  <c r="G15" i="8"/>
  <c r="H4" i="8"/>
  <c r="K11" i="8"/>
  <c r="K7" i="8"/>
  <c r="K14" i="8"/>
  <c r="I4" i="8"/>
  <c r="W17" i="6"/>
  <c r="S17" i="6"/>
  <c r="L17" i="6"/>
  <c r="I17" i="6"/>
  <c r="H17" i="6"/>
  <c r="Q17" i="6" s="1"/>
  <c r="G17" i="6"/>
  <c r="K17" i="6" s="1"/>
  <c r="U17" i="6" s="1"/>
  <c r="W16" i="6"/>
  <c r="S16" i="6"/>
  <c r="H16" i="6"/>
  <c r="I16" i="6" s="1"/>
  <c r="G16" i="6"/>
  <c r="K16" i="6" s="1"/>
  <c r="U16" i="6" s="1"/>
  <c r="W15" i="6"/>
  <c r="S15" i="6"/>
  <c r="G15" i="6"/>
  <c r="J15" i="6" s="1"/>
  <c r="W14" i="6"/>
  <c r="S14" i="6"/>
  <c r="O14" i="6"/>
  <c r="G14" i="6"/>
  <c r="H14" i="6" s="1"/>
  <c r="D14" i="6"/>
  <c r="W13" i="6"/>
  <c r="S13" i="6"/>
  <c r="O13" i="6"/>
  <c r="L13" i="6"/>
  <c r="H13" i="6"/>
  <c r="Q13" i="6" s="1"/>
  <c r="G13" i="6"/>
  <c r="K13" i="6" s="1"/>
  <c r="U13" i="6" s="1"/>
  <c r="D13" i="6"/>
  <c r="W12" i="6"/>
  <c r="S12" i="6"/>
  <c r="L12" i="6"/>
  <c r="G12" i="6"/>
  <c r="O12" i="6" s="1"/>
  <c r="W11" i="6"/>
  <c r="S11" i="6"/>
  <c r="O11" i="6"/>
  <c r="L11" i="6"/>
  <c r="K11" i="6"/>
  <c r="U11" i="6" s="1"/>
  <c r="J11" i="6"/>
  <c r="G11" i="6"/>
  <c r="H11" i="6" s="1"/>
  <c r="D11" i="6"/>
  <c r="W10" i="6"/>
  <c r="S10" i="6"/>
  <c r="L10" i="6"/>
  <c r="K10" i="6"/>
  <c r="U10" i="6" s="1"/>
  <c r="J10" i="6"/>
  <c r="G10" i="6"/>
  <c r="H10" i="6" s="1"/>
  <c r="D10" i="6"/>
  <c r="W9" i="6"/>
  <c r="S9" i="6"/>
  <c r="O9" i="6"/>
  <c r="L9" i="6"/>
  <c r="K9" i="6"/>
  <c r="U9" i="6" s="1"/>
  <c r="J9" i="6"/>
  <c r="H9" i="6"/>
  <c r="Q9" i="6" s="1"/>
  <c r="G9" i="6"/>
  <c r="D9" i="6"/>
  <c r="W8" i="6"/>
  <c r="S8" i="6"/>
  <c r="H8" i="6"/>
  <c r="P8" i="6" s="1"/>
  <c r="G8" i="6"/>
  <c r="J8" i="6" s="1"/>
  <c r="W7" i="6"/>
  <c r="S7" i="6"/>
  <c r="G7" i="6"/>
  <c r="H7" i="6" s="1"/>
  <c r="W6" i="6"/>
  <c r="S6" i="6"/>
  <c r="O6" i="6"/>
  <c r="G6" i="6"/>
  <c r="H6" i="6" s="1"/>
  <c r="D6" i="6"/>
  <c r="W5" i="6"/>
  <c r="S5" i="6"/>
  <c r="O5" i="6"/>
  <c r="L5" i="6"/>
  <c r="G5" i="6"/>
  <c r="K5" i="6" s="1"/>
  <c r="U5" i="6" s="1"/>
  <c r="D5" i="6"/>
  <c r="W4" i="6"/>
  <c r="S4" i="6"/>
  <c r="L4" i="6"/>
  <c r="K4" i="6"/>
  <c r="U4" i="6" s="1"/>
  <c r="G4" i="6"/>
  <c r="O4" i="6" s="1"/>
  <c r="K12" i="9" l="1"/>
  <c r="J12" i="9"/>
  <c r="K14" i="9"/>
  <c r="J14" i="9"/>
  <c r="Q9" i="9"/>
  <c r="P9" i="9"/>
  <c r="Q6" i="9"/>
  <c r="P6" i="9"/>
  <c r="K9" i="9"/>
  <c r="J9" i="9"/>
  <c r="Q13" i="9"/>
  <c r="P13" i="9"/>
  <c r="J6" i="9"/>
  <c r="K6" i="9"/>
  <c r="K8" i="9"/>
  <c r="J8" i="9"/>
  <c r="Q15" i="9"/>
  <c r="P15" i="9"/>
  <c r="J4" i="9"/>
  <c r="K4" i="9"/>
  <c r="Q4" i="9"/>
  <c r="P4" i="9"/>
  <c r="P14" i="9"/>
  <c r="Q14" i="9"/>
  <c r="N14" i="8"/>
  <c r="M14" i="8"/>
  <c r="N15" i="8"/>
  <c r="M15" i="8"/>
  <c r="N12" i="8"/>
  <c r="M12" i="8"/>
  <c r="I9" i="6"/>
  <c r="N13" i="6"/>
  <c r="T9" i="6"/>
  <c r="P7" i="6"/>
  <c r="I7" i="6"/>
  <c r="N7" i="6"/>
  <c r="Q7" i="6"/>
  <c r="T7" i="6" s="1"/>
  <c r="N11" i="6"/>
  <c r="I11" i="6"/>
  <c r="Q11" i="6"/>
  <c r="T11" i="6" s="1"/>
  <c r="P11" i="6"/>
  <c r="I10" i="6"/>
  <c r="Q10" i="6"/>
  <c r="T10" i="6" s="1"/>
  <c r="P10" i="6"/>
  <c r="N10" i="6"/>
  <c r="T13" i="6"/>
  <c r="T17" i="6"/>
  <c r="Q6" i="6"/>
  <c r="T6" i="6" s="1"/>
  <c r="N6" i="6"/>
  <c r="I6" i="6"/>
  <c r="P6" i="6"/>
  <c r="I14" i="6"/>
  <c r="Q14" i="6"/>
  <c r="T14" i="6" s="1"/>
  <c r="P14" i="6"/>
  <c r="N14" i="6"/>
  <c r="Q8" i="6"/>
  <c r="T8" i="6" s="1"/>
  <c r="D4" i="6"/>
  <c r="H5" i="6"/>
  <c r="J6" i="6"/>
  <c r="K7" i="6"/>
  <c r="U7" i="6" s="1"/>
  <c r="L8" i="6"/>
  <c r="N9" i="6"/>
  <c r="O10" i="6"/>
  <c r="H12" i="6"/>
  <c r="I13" i="6"/>
  <c r="J14" i="6"/>
  <c r="K15" i="6"/>
  <c r="U15" i="6" s="1"/>
  <c r="L16" i="6"/>
  <c r="N17" i="6"/>
  <c r="I8" i="6"/>
  <c r="K8" i="6"/>
  <c r="U8" i="6" s="1"/>
  <c r="K6" i="6"/>
  <c r="U6" i="6" s="1"/>
  <c r="N8" i="6"/>
  <c r="J13" i="6"/>
  <c r="K14" i="6"/>
  <c r="U14" i="6" s="1"/>
  <c r="L15" i="6"/>
  <c r="N16" i="6"/>
  <c r="D17" i="6"/>
  <c r="O17" i="6"/>
  <c r="Q16" i="6"/>
  <c r="T16" i="6" s="1"/>
  <c r="J7" i="6"/>
  <c r="H4" i="6"/>
  <c r="J5" i="6"/>
  <c r="L7" i="6"/>
  <c r="J4" i="6"/>
  <c r="L6" i="6"/>
  <c r="D8" i="6"/>
  <c r="O8" i="6"/>
  <c r="P9" i="6"/>
  <c r="J12" i="6"/>
  <c r="L14" i="6"/>
  <c r="D16" i="6"/>
  <c r="O16" i="6"/>
  <c r="P17" i="6"/>
  <c r="D7" i="6"/>
  <c r="O7" i="6"/>
  <c r="K12" i="6"/>
  <c r="U12" i="6" s="1"/>
  <c r="D15" i="6"/>
  <c r="O15" i="6"/>
  <c r="P16" i="6"/>
  <c r="H15" i="6"/>
  <c r="J17" i="6"/>
  <c r="D12" i="6"/>
  <c r="P13" i="6"/>
  <c r="J16" i="6"/>
  <c r="F4" i="5"/>
  <c r="T4" i="5"/>
  <c r="U4" i="5" s="1"/>
  <c r="AC4" i="5"/>
  <c r="F5" i="5"/>
  <c r="T5" i="5"/>
  <c r="U5" i="5" s="1"/>
  <c r="AC5" i="5"/>
  <c r="F6" i="5"/>
  <c r="T6" i="5"/>
  <c r="U6" i="5" s="1"/>
  <c r="AC6" i="5"/>
  <c r="F7" i="5"/>
  <c r="T7" i="5"/>
  <c r="U7" i="5" s="1"/>
  <c r="AC7" i="5"/>
  <c r="F8" i="5"/>
  <c r="T8" i="5"/>
  <c r="U8" i="5"/>
  <c r="AC8" i="5"/>
  <c r="F9" i="5"/>
  <c r="T9" i="5"/>
  <c r="U9" i="5"/>
  <c r="AC9" i="5"/>
  <c r="F10" i="5"/>
  <c r="T10" i="5"/>
  <c r="U10" i="5" s="1"/>
  <c r="AC10" i="5"/>
  <c r="F11" i="5"/>
  <c r="T11" i="5"/>
  <c r="U11" i="5" s="1"/>
  <c r="AC11" i="5"/>
  <c r="F12" i="5"/>
  <c r="T12" i="5"/>
  <c r="U12" i="5" s="1"/>
  <c r="AC12" i="5"/>
  <c r="F13" i="5"/>
  <c r="T13" i="5"/>
  <c r="U13" i="5" s="1"/>
  <c r="AC13" i="5"/>
  <c r="F14" i="5"/>
  <c r="T14" i="5"/>
  <c r="U14" i="5" s="1"/>
  <c r="AC14" i="5"/>
  <c r="F15" i="5"/>
  <c r="T15" i="5"/>
  <c r="U15" i="5" s="1"/>
  <c r="AC15" i="5"/>
  <c r="F16" i="5"/>
  <c r="T16" i="5"/>
  <c r="U16" i="5" s="1"/>
  <c r="AC16" i="5"/>
  <c r="F17" i="5"/>
  <c r="T17" i="5"/>
  <c r="U17" i="5" s="1"/>
  <c r="AC17" i="5"/>
  <c r="P12" i="6" l="1"/>
  <c r="N12" i="6"/>
  <c r="I12" i="6"/>
  <c r="Q12" i="6"/>
  <c r="T12" i="6" s="1"/>
  <c r="I15" i="6"/>
  <c r="Q15" i="6"/>
  <c r="T15" i="6" s="1"/>
  <c r="N15" i="6"/>
  <c r="P15" i="6"/>
  <c r="I4" i="6"/>
  <c r="Q4" i="6"/>
  <c r="T4" i="6" s="1"/>
  <c r="P4" i="6"/>
  <c r="N4" i="6"/>
  <c r="P5" i="6"/>
  <c r="N5" i="6"/>
  <c r="I5" i="6"/>
  <c r="Q5" i="6"/>
  <c r="T5" i="6" s="1"/>
  <c r="K6" i="5"/>
  <c r="I4" i="5"/>
  <c r="J4" i="5" s="1"/>
  <c r="S6" i="4"/>
  <c r="S7" i="4"/>
  <c r="S9" i="4"/>
  <c r="S5" i="4"/>
  <c r="S8" i="4"/>
  <c r="S4" i="4"/>
  <c r="I14" i="5" s="1"/>
  <c r="J14" i="5" s="1"/>
  <c r="S16" i="4"/>
  <c r="S17" i="4"/>
  <c r="S14" i="4"/>
  <c r="S18" i="4"/>
  <c r="S15" i="4"/>
  <c r="S19" i="4"/>
  <c r="S23" i="4"/>
  <c r="S13" i="4"/>
  <c r="S10" i="4"/>
  <c r="S21" i="4"/>
  <c r="S20" i="4"/>
  <c r="S12" i="4"/>
  <c r="S11" i="4"/>
  <c r="S22" i="4"/>
  <c r="X6" i="5" l="1"/>
  <c r="Y6" i="5" s="1"/>
  <c r="M6" i="5"/>
  <c r="M7" i="5"/>
  <c r="K8" i="5"/>
  <c r="K7" i="5"/>
  <c r="K5" i="5"/>
  <c r="G9" i="5"/>
  <c r="H9" i="5" s="1"/>
  <c r="M5" i="5"/>
  <c r="G4" i="5"/>
  <c r="H4" i="5" s="1"/>
  <c r="K9" i="5"/>
  <c r="I11" i="5"/>
  <c r="J11" i="5" s="1"/>
  <c r="I15" i="5"/>
  <c r="J15" i="5" s="1"/>
  <c r="M11" i="5"/>
  <c r="M17" i="5"/>
  <c r="M9" i="5"/>
  <c r="K13" i="5"/>
  <c r="M14" i="5"/>
  <c r="I6" i="5"/>
  <c r="J6" i="5" s="1"/>
  <c r="I16" i="5"/>
  <c r="J16" i="5" s="1"/>
  <c r="M4" i="5"/>
  <c r="M12" i="5"/>
  <c r="G15" i="5"/>
  <c r="H15" i="5" s="1"/>
  <c r="K16" i="5"/>
  <c r="M13" i="5"/>
  <c r="G6" i="5"/>
  <c r="H6" i="5" s="1"/>
  <c r="M16" i="5"/>
  <c r="I17" i="5"/>
  <c r="J17" i="5" s="1"/>
  <c r="M10" i="5"/>
  <c r="G10" i="5"/>
  <c r="H10" i="5" s="1"/>
  <c r="G8" i="5"/>
  <c r="H8" i="5" s="1"/>
  <c r="I10" i="5"/>
  <c r="J10" i="5" s="1"/>
  <c r="I12" i="5"/>
  <c r="J12" i="5" s="1"/>
  <c r="M8" i="5"/>
  <c r="I9" i="5"/>
  <c r="J9" i="5" s="1"/>
  <c r="K11" i="5"/>
  <c r="G12" i="5"/>
  <c r="H12" i="5" s="1"/>
  <c r="G14" i="5"/>
  <c r="H14" i="5" s="1"/>
  <c r="G7" i="5"/>
  <c r="H7" i="5" s="1"/>
  <c r="I8" i="5"/>
  <c r="J8" i="5" s="1"/>
  <c r="K10" i="5"/>
  <c r="G16" i="5"/>
  <c r="H16" i="5" s="1"/>
  <c r="K12" i="5"/>
  <c r="I5" i="5"/>
  <c r="J5" i="5" s="1"/>
  <c r="G11" i="5"/>
  <c r="H11" i="5" s="1"/>
  <c r="K14" i="5"/>
  <c r="K17" i="5"/>
  <c r="G5" i="5"/>
  <c r="H5" i="5" s="1"/>
  <c r="I13" i="5"/>
  <c r="J13" i="5" s="1"/>
  <c r="K4" i="5"/>
  <c r="X4" i="5" s="1"/>
  <c r="M15" i="5"/>
  <c r="G13" i="5"/>
  <c r="H13" i="5" s="1"/>
  <c r="K15" i="5"/>
  <c r="G17" i="5"/>
  <c r="H17" i="5" s="1"/>
  <c r="I7" i="5"/>
  <c r="J7" i="5" s="1"/>
  <c r="O4" i="4"/>
  <c r="Q4" i="4" s="1"/>
  <c r="O5" i="4"/>
  <c r="Q5" i="4" s="1"/>
  <c r="O6" i="4"/>
  <c r="Q6" i="4" s="1"/>
  <c r="O7" i="4"/>
  <c r="Q7" i="4" s="1"/>
  <c r="O8" i="4"/>
  <c r="Q8" i="4" s="1"/>
  <c r="O9" i="4"/>
  <c r="Q9" i="4" s="1"/>
  <c r="O13" i="4"/>
  <c r="Q13" i="4" s="1"/>
  <c r="O15" i="4"/>
  <c r="Q15" i="4" s="1"/>
  <c r="O22" i="4"/>
  <c r="Q22" i="4" s="1"/>
  <c r="O18" i="4"/>
  <c r="Q18" i="4" s="1"/>
  <c r="O11" i="4"/>
  <c r="Q11" i="4" s="1"/>
  <c r="O17" i="4"/>
  <c r="Q17" i="4" s="1"/>
  <c r="O14" i="4"/>
  <c r="Q14" i="4" s="1"/>
  <c r="O19" i="4"/>
  <c r="Q19" i="4" s="1"/>
  <c r="O23" i="4"/>
  <c r="Q23" i="4" s="1"/>
  <c r="O20" i="4"/>
  <c r="Q20" i="4" s="1"/>
  <c r="O21" i="4"/>
  <c r="O12" i="4"/>
  <c r="Q12" i="4" s="1"/>
  <c r="O16" i="4"/>
  <c r="Q16" i="4" s="1"/>
  <c r="O10" i="4"/>
  <c r="Q10" i="4" s="1"/>
  <c r="X14" i="5" l="1"/>
  <c r="Y14" i="5" s="1"/>
  <c r="X7" i="5"/>
  <c r="Y7" i="5" s="1"/>
  <c r="X15" i="5"/>
  <c r="Y15" i="5" s="1"/>
  <c r="X8" i="5"/>
  <c r="Y8" i="5" s="1"/>
  <c r="X11" i="5"/>
  <c r="Y11" i="5" s="1"/>
  <c r="X5" i="5"/>
  <c r="Y5" i="5" s="1"/>
  <c r="X12" i="5"/>
  <c r="Y12" i="5" s="1"/>
  <c r="X9" i="5"/>
  <c r="Y9" i="5" s="1"/>
  <c r="X10" i="5"/>
  <c r="Y10" i="5" s="1"/>
  <c r="X13" i="5"/>
  <c r="Y13" i="5" s="1"/>
  <c r="X17" i="5"/>
  <c r="Y17" i="5" s="1"/>
  <c r="X16" i="5"/>
  <c r="Y16" i="5" s="1"/>
  <c r="Y4" i="5"/>
  <c r="P20" i="4"/>
  <c r="Q21" i="4"/>
  <c r="P6" i="4"/>
  <c r="P7" i="4"/>
  <c r="P5" i="4"/>
  <c r="P8" i="4"/>
  <c r="P10" i="4"/>
  <c r="P22" i="4"/>
  <c r="P18" i="4"/>
  <c r="P23" i="4"/>
  <c r="P11" i="4"/>
  <c r="P17" i="4"/>
  <c r="P13" i="4"/>
  <c r="P21" i="4"/>
  <c r="P9" i="4"/>
  <c r="P19" i="4"/>
  <c r="P16" i="4"/>
  <c r="P14" i="4"/>
  <c r="P15" i="4"/>
  <c r="P12" i="4"/>
  <c r="P4" i="4"/>
  <c r="M15" i="4"/>
  <c r="N15" i="4" s="1"/>
  <c r="N11" i="5" s="1"/>
  <c r="Z11" i="5" s="1"/>
  <c r="M16" i="4"/>
  <c r="N16" i="4" s="1"/>
  <c r="N9" i="5" s="1"/>
  <c r="Z9" i="5" s="1"/>
  <c r="M17" i="4"/>
  <c r="N17" i="4" s="1"/>
  <c r="N10" i="5" s="1"/>
  <c r="Z10" i="5" s="1"/>
  <c r="M18" i="4"/>
  <c r="N18" i="4" s="1"/>
  <c r="N12" i="5" s="1"/>
  <c r="Z12" i="5" s="1"/>
  <c r="M19" i="4"/>
  <c r="N19" i="4" s="1"/>
  <c r="N13" i="5" s="1"/>
  <c r="Z13" i="5" s="1"/>
  <c r="M20" i="4"/>
  <c r="N20" i="4" s="1"/>
  <c r="N17" i="5" s="1"/>
  <c r="Z17" i="5" s="1"/>
  <c r="M21" i="4"/>
  <c r="N21" i="4" s="1"/>
  <c r="M22" i="4"/>
  <c r="N22" i="4" s="1"/>
  <c r="M23" i="4"/>
  <c r="N23" i="4" s="1"/>
  <c r="N14" i="5" s="1"/>
  <c r="Z14" i="5" s="1"/>
  <c r="M5" i="4"/>
  <c r="N5" i="4" s="1"/>
  <c r="N7" i="5" s="1"/>
  <c r="Z7" i="5" s="1"/>
  <c r="M6" i="4"/>
  <c r="N6" i="4" s="1"/>
  <c r="N8" i="5" s="1"/>
  <c r="Z8" i="5" s="1"/>
  <c r="M7" i="4"/>
  <c r="N7" i="4" s="1"/>
  <c r="N4" i="5" s="1"/>
  <c r="Z4" i="5" s="1"/>
  <c r="M8" i="4"/>
  <c r="N8" i="4" s="1"/>
  <c r="M9" i="4"/>
  <c r="N9" i="4" s="1"/>
  <c r="M10" i="4"/>
  <c r="N10" i="4" s="1"/>
  <c r="M11" i="4"/>
  <c r="N11" i="4" s="1"/>
  <c r="M12" i="4"/>
  <c r="N12" i="4" s="1"/>
  <c r="M13" i="4"/>
  <c r="N13" i="4" s="1"/>
  <c r="N15" i="5" s="1"/>
  <c r="Z15" i="5" s="1"/>
  <c r="M14" i="4"/>
  <c r="N14" i="4" s="1"/>
  <c r="N16" i="5" s="1"/>
  <c r="Z16" i="5" s="1"/>
  <c r="M4" i="4"/>
  <c r="N4" i="4" s="1"/>
  <c r="N6" i="5" s="1"/>
  <c r="Z6" i="5" s="1"/>
  <c r="L6" i="5"/>
  <c r="L7" i="5"/>
  <c r="L8" i="5"/>
  <c r="L4" i="5"/>
  <c r="L15" i="5"/>
  <c r="L16" i="5"/>
  <c r="L11" i="5"/>
  <c r="L9" i="5"/>
  <c r="L10" i="5"/>
  <c r="L12" i="5"/>
  <c r="L13" i="5"/>
  <c r="L17" i="5"/>
  <c r="L14" i="5"/>
  <c r="N5" i="5" l="1"/>
  <c r="Z5" i="5" s="1"/>
  <c r="L5" i="5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K5" i="4"/>
  <c r="K15" i="4"/>
  <c r="K16" i="4"/>
  <c r="K17" i="4"/>
  <c r="K18" i="4"/>
  <c r="K19" i="4"/>
  <c r="K20" i="4"/>
  <c r="K21" i="4"/>
  <c r="K22" i="4"/>
  <c r="K23" i="4"/>
  <c r="K6" i="4"/>
  <c r="K7" i="4"/>
  <c r="K8" i="4"/>
  <c r="K9" i="4"/>
  <c r="K10" i="4"/>
  <c r="K11" i="4"/>
  <c r="K12" i="4"/>
  <c r="K13" i="4"/>
  <c r="K14" i="4"/>
  <c r="K4" i="4"/>
  <c r="AA6" i="5" l="1"/>
</calcChain>
</file>

<file path=xl/sharedStrings.xml><?xml version="1.0" encoding="utf-8"?>
<sst xmlns="http://schemas.openxmlformats.org/spreadsheetml/2006/main" count="1090" uniqueCount="420">
  <si>
    <t>01_MASTER_MATERIAL  |  Warehouse Operations in a Heavy Equipment Manufacturing Environment</t>
  </si>
  <si>
    <t>Material Code</t>
  </si>
  <si>
    <t>Material Description</t>
  </si>
  <si>
    <t>Material Group</t>
  </si>
  <si>
    <t>Base UoM</t>
  </si>
  <si>
    <t>Purchase UoM</t>
  </si>
  <si>
    <t>Primary Supplier Code</t>
  </si>
  <si>
    <t>Standard Cost (per Base UoM)</t>
  </si>
  <si>
    <t>Criticality Flag</t>
  </si>
  <si>
    <t>Storage/Handling Class</t>
  </si>
  <si>
    <t>Min Stock Level</t>
  </si>
  <si>
    <t>Max Stock Level</t>
  </si>
  <si>
    <t>Lead Time (Days)</t>
  </si>
  <si>
    <t>Status</t>
  </si>
  <si>
    <t>MAT-00001</t>
  </si>
  <si>
    <t>Hydraulic Cylinder Seal Kit 80mm</t>
  </si>
  <si>
    <t>Hydraulic Components</t>
  </si>
  <si>
    <t>PCS</t>
  </si>
  <si>
    <t>Critical Spare</t>
  </si>
  <si>
    <t>Standard</t>
  </si>
  <si>
    <t>Active</t>
  </si>
  <si>
    <t>MAT-00002</t>
  </si>
  <si>
    <t>Steel Plate 10mm x 2m x 1m</t>
  </si>
  <si>
    <t>SUP-0005</t>
  </si>
  <si>
    <t>Heavy/Bulk</t>
  </si>
  <si>
    <t>MAT-00003</t>
  </si>
  <si>
    <t>Engine Oil Filter (Cat 320D)</t>
  </si>
  <si>
    <t>MAT-00004</t>
  </si>
  <si>
    <t>Hex Bolt M12x50 Grade 8.8</t>
  </si>
  <si>
    <t>Fasteners</t>
  </si>
  <si>
    <t>SUP-0009</t>
  </si>
  <si>
    <t>MAT-00005</t>
  </si>
  <si>
    <t>Industrial Degreaser 20L</t>
  </si>
  <si>
    <t>Consumables</t>
  </si>
  <si>
    <t>LTR</t>
  </si>
  <si>
    <t>Hazardous</t>
  </si>
  <si>
    <t>MAT-00006</t>
  </si>
  <si>
    <t>MAT-00007</t>
  </si>
  <si>
    <t>Air Filter Element - Primary</t>
  </si>
  <si>
    <t>MAT-00008</t>
  </si>
  <si>
    <t>Hydraulic Hose 1/2in x 3m</t>
  </si>
  <si>
    <t>MAT-00009</t>
  </si>
  <si>
    <t>Grease Cartridge NLGI2 400g</t>
  </si>
  <si>
    <t>MAT-00010</t>
  </si>
  <si>
    <t>Welding Electrode E7018 3.2mm</t>
  </si>
  <si>
    <t>KG</t>
  </si>
  <si>
    <t>MAT-00011</t>
  </si>
  <si>
    <t>Final Drive Motor (Excavator PC200)</t>
  </si>
  <si>
    <t>MAT-00012</t>
  </si>
  <si>
    <t>Bucket Teeth (CAT style)</t>
  </si>
  <si>
    <t>MAT-00013</t>
  </si>
  <si>
    <t>Radiator Coolant 20L</t>
  </si>
  <si>
    <t>MAT-00014</t>
  </si>
  <si>
    <t>Flat Washer M12 Zinc Plated</t>
  </si>
  <si>
    <t>MAT-00015</t>
  </si>
  <si>
    <t>Turbocharger Assembly (Cat C15)</t>
  </si>
  <si>
    <t>MAT-00016</t>
  </si>
  <si>
    <t>V-Belt A-Section 1250mm</t>
  </si>
  <si>
    <t>MAT-00017</t>
  </si>
  <si>
    <t>Steel I-Beam 6m Length</t>
  </si>
  <si>
    <t>MAT-00018</t>
  </si>
  <si>
    <t>Cabin Air Filter</t>
  </si>
  <si>
    <t>MAT-00019</t>
  </si>
  <si>
    <t>Bearing 6205-2RS</t>
  </si>
  <si>
    <t>MAT-00020</t>
  </si>
  <si>
    <t>Undercarriage Chain Link Assembly</t>
  </si>
  <si>
    <t>Inactive</t>
  </si>
  <si>
    <t>Notes / Data Dictionary</t>
  </si>
  <si>
    <t>02_MASTER_SUPPLIER  |  Warehouse Operations in a Heavy Equipment Manufacturing Environment</t>
  </si>
  <si>
    <t>Supplier Code</t>
  </si>
  <si>
    <t>Supplier Name</t>
  </si>
  <si>
    <t>Supplier Type</t>
  </si>
  <si>
    <t>Country</t>
  </si>
  <si>
    <t>Contact Person</t>
  </si>
  <si>
    <t>Contact Email</t>
  </si>
  <si>
    <t>Contact Phone</t>
  </si>
  <si>
    <t>Supplier Rating</t>
  </si>
  <si>
    <t>Indonesia</t>
  </si>
  <si>
    <t>021-5501234</t>
  </si>
  <si>
    <t>Preferred</t>
  </si>
  <si>
    <t>021-5502345</t>
  </si>
  <si>
    <t>Approved</t>
  </si>
  <si>
    <t>021-5503456</t>
  </si>
  <si>
    <t>021-5504567</t>
  </si>
  <si>
    <t>Singapore</t>
  </si>
  <si>
    <t>+65-6511-2233</t>
  </si>
  <si>
    <t>Japan</t>
  </si>
  <si>
    <t>+81-3-4455-6677</t>
  </si>
  <si>
    <t>SUP-0002</t>
  </si>
  <si>
    <t>022-6601122</t>
  </si>
  <si>
    <t>+65-6522-3344</t>
  </si>
  <si>
    <t>021-5507890</t>
  </si>
  <si>
    <t>021-5508901</t>
  </si>
  <si>
    <t>03_MASTER_LOCATION  |  Warehouse Operations in a Heavy Equipment Manufacturing Environment</t>
  </si>
  <si>
    <t>Location Code</t>
  </si>
  <si>
    <t>Location Description</t>
  </si>
  <si>
    <t>Zone</t>
  </si>
  <si>
    <t>Storage/Handling Requirement</t>
  </si>
  <si>
    <t>Pickable Flag</t>
  </si>
  <si>
    <t>Capacity (Max Qty)</t>
  </si>
  <si>
    <t>Receiving</t>
  </si>
  <si>
    <t>No</t>
  </si>
  <si>
    <t>Storage</t>
  </si>
  <si>
    <t>Yes</t>
  </si>
  <si>
    <t>Quarantine/QC Hold</t>
  </si>
  <si>
    <t>Shipping/Staging</t>
  </si>
  <si>
    <t>04_PURCHASE_ORDER  |  Warehouse Operations in a Heavy Equipment Manufacturing Environment</t>
  </si>
  <si>
    <t>PO Number</t>
  </si>
  <si>
    <t>PO Line</t>
  </si>
  <si>
    <t>PO Date</t>
  </si>
  <si>
    <t>Unit Price</t>
  </si>
  <si>
    <t>Line Total</t>
  </si>
  <si>
    <t>Order Priority</t>
  </si>
  <si>
    <t>Expected Delivery Date</t>
  </si>
  <si>
    <t>PO Status</t>
  </si>
  <si>
    <t>Remarks</t>
  </si>
  <si>
    <t>PO Line Key (Helper)</t>
  </si>
  <si>
    <t>PO-2026-0001</t>
  </si>
  <si>
    <t>PO-2026-0002</t>
  </si>
  <si>
    <t>Urgent</t>
  </si>
  <si>
    <t>PO-2026-0003</t>
  </si>
  <si>
    <t>PO-2026-0004</t>
  </si>
  <si>
    <t>PO-2026-0005</t>
  </si>
  <si>
    <t>05_GOODS_RECEIPT  |  Warehouse Operations in a Heavy Equipment Manufacturing Environment</t>
  </si>
  <si>
    <t>GR Number</t>
  </si>
  <si>
    <t>GR Line</t>
  </si>
  <si>
    <t>GR Date</t>
  </si>
  <si>
    <t>Inspection Result</t>
  </si>
  <si>
    <t>Rejection Reason</t>
  </si>
  <si>
    <t>Batch/Lot Number</t>
  </si>
  <si>
    <t>Put-Away Status</t>
  </si>
  <si>
    <t>GR Line Key (Helper)</t>
  </si>
  <si>
    <t>GR-2026-0001</t>
  </si>
  <si>
    <t>N/A</t>
  </si>
  <si>
    <t>Damaged in Transit</t>
  </si>
  <si>
    <t>GR-2026-0002</t>
  </si>
  <si>
    <t>GR-2026-0003</t>
  </si>
  <si>
    <t>GR-2026-0004</t>
  </si>
  <si>
    <t>06_PUT_AWAY  |  Warehouse Operations in a Heavy Equipment Manufacturing Environment</t>
  </si>
  <si>
    <t>Location Match Check</t>
  </si>
  <si>
    <t>Put-Away Line Key (Helper)</t>
  </si>
  <si>
    <t>PA-2026-0001</t>
  </si>
  <si>
    <t>PA-2026-0002</t>
  </si>
  <si>
    <t>PA-2026-0003</t>
  </si>
  <si>
    <t>PA-2026-0004</t>
  </si>
  <si>
    <t>Default Storage Location</t>
  </si>
  <si>
    <t>Track Roller Assembly</t>
  </si>
  <si>
    <t>Raw Materials</t>
  </si>
  <si>
    <t>Filters</t>
  </si>
  <si>
    <t>Undercarriage Components</t>
  </si>
  <si>
    <t>Lubricants &amp; Fluids</t>
  </si>
  <si>
    <t>Engine Components</t>
  </si>
  <si>
    <t>A-01-01-01</t>
  </si>
  <si>
    <t>A-02-01-01</t>
  </si>
  <si>
    <t>D-01-01-01</t>
  </si>
  <si>
    <t>D-02-01-01</t>
  </si>
  <si>
    <t>B-01-01-01</t>
  </si>
  <si>
    <t>A-02-01-02</t>
  </si>
  <si>
    <t>A-01-02-01</t>
  </si>
  <si>
    <t>D-02-01-02</t>
  </si>
  <si>
    <t>B-01-02-01</t>
  </si>
  <si>
    <t>B-02-01-01</t>
  </si>
  <si>
    <t>D-01-01-02</t>
  </si>
  <si>
    <t>A-01-03-01</t>
  </si>
  <si>
    <t>A-01-03-02</t>
  </si>
  <si>
    <t>A-02-01-03</t>
  </si>
  <si>
    <t>A-01-02-02</t>
  </si>
  <si>
    <t>B-02-02-01</t>
  </si>
  <si>
    <t>SUP-0001</t>
  </si>
  <si>
    <t>SUP-0003</t>
  </si>
  <si>
    <t>SUP-0004</t>
  </si>
  <si>
    <t>SUP-0006</t>
  </si>
  <si>
    <t>SUP-0007</t>
  </si>
  <si>
    <t>SUP-0008</t>
  </si>
  <si>
    <t>SUP-0010</t>
  </si>
  <si>
    <t>Local Distributor</t>
  </si>
  <si>
    <t>PT Industrial Steel Supply</t>
  </si>
  <si>
    <t>Procurement Team</t>
  </si>
  <si>
    <t>sales@industrialsteel.co.id</t>
  </si>
  <si>
    <t>PT Precision Fastener Indonesia</t>
  </si>
  <si>
    <t>Sales Representative</t>
  </si>
  <si>
    <t>sales@precisionfastener.co.id</t>
  </si>
  <si>
    <t>PT Heavy Equipment Parts Indonesia</t>
  </si>
  <si>
    <t>Authorized Distributor</t>
  </si>
  <si>
    <t>Account Manager</t>
  </si>
  <si>
    <t>sales@heparts.co.id</t>
  </si>
  <si>
    <t>PT Industrial Lubricants Indonesia</t>
  </si>
  <si>
    <t>sales@indlube.co.id</t>
  </si>
  <si>
    <t>Global Engine Components Pte Ltd</t>
  </si>
  <si>
    <t>Regional Sales Manager</t>
  </si>
  <si>
    <t>sales@gecomponents.sg</t>
  </si>
  <si>
    <t>OEM Heavy Parts Corporation</t>
  </si>
  <si>
    <t>Manufacturer</t>
  </si>
  <si>
    <t>Export Sales Team</t>
  </si>
  <si>
    <t>export@oemparts.jp</t>
  </si>
  <si>
    <t>Global Hydraulic Solutions Pte Ltd</t>
  </si>
  <si>
    <t>sales@ghsolutions.sg</t>
  </si>
  <si>
    <t>PT Industrial Consumables Indonesia</t>
  </si>
  <si>
    <t>sales@indconsumables.co.id</t>
  </si>
  <si>
    <t>PT Metal Processing Supply</t>
  </si>
  <si>
    <t>sales@metalprocessing.co.id</t>
  </si>
  <si>
    <t>Column1</t>
  </si>
  <si>
    <t>Column2</t>
  </si>
  <si>
    <t>Column3</t>
  </si>
  <si>
    <t>Column4</t>
  </si>
  <si>
    <t>Column5</t>
  </si>
  <si>
    <t>Column6</t>
  </si>
  <si>
    <t>aktif</t>
  </si>
  <si>
    <t>tidak aktif</t>
  </si>
  <si>
    <t>Location Type</t>
  </si>
  <si>
    <t>Standard Rack</t>
  </si>
  <si>
    <t>A-01-01-02</t>
  </si>
  <si>
    <t>Heavy Duty Rack</t>
  </si>
  <si>
    <t>Consumables Rack</t>
  </si>
  <si>
    <t>Chemical Storage</t>
  </si>
  <si>
    <t>Receiving Dock</t>
  </si>
  <si>
    <t>Staging Area</t>
  </si>
  <si>
    <t>Quarantine Area</t>
  </si>
  <si>
    <t>Received Qty</t>
  </si>
  <si>
    <t>Outstanding Qty</t>
  </si>
  <si>
    <t>Ordered Qty</t>
  </si>
  <si>
    <t>PT Multi Industrial Trading</t>
  </si>
  <si>
    <t>Industrial Trading Company</t>
  </si>
  <si>
    <t>sales@mit.co.id</t>
  </si>
  <si>
    <t>PO-2026-0006</t>
  </si>
  <si>
    <t>PO-2026-0007</t>
  </si>
  <si>
    <t>PO-2026-0008</t>
  </si>
  <si>
    <t>PO-2026-0009</t>
  </si>
  <si>
    <t>PO-2026-0010</t>
  </si>
  <si>
    <t>Project A</t>
  </si>
  <si>
    <t>Preventive Maintenance</t>
  </si>
  <si>
    <t>Customer Order</t>
  </si>
  <si>
    <t>Trial Order</t>
  </si>
  <si>
    <t>Order Qty</t>
  </si>
  <si>
    <t>Received Variance</t>
  </si>
  <si>
    <t>Delivery Note No.</t>
  </si>
  <si>
    <t>Received By</t>
  </si>
  <si>
    <t>Received Variance %</t>
  </si>
  <si>
    <t>DN-260815-001</t>
  </si>
  <si>
    <t>Andi</t>
  </si>
  <si>
    <t>Budi</t>
  </si>
  <si>
    <t>DN-260819-001</t>
  </si>
  <si>
    <t>Rizky</t>
  </si>
  <si>
    <t>GR-2026-0005</t>
  </si>
  <si>
    <t>GR-2026-0006</t>
  </si>
  <si>
    <t>DN-260825-001</t>
  </si>
  <si>
    <t>LOT-HYD-260815</t>
  </si>
  <si>
    <t>LOT-BRG-260815</t>
  </si>
  <si>
    <t>DN-260810-001</t>
  </si>
  <si>
    <t>LOT-FLT-260810</t>
  </si>
  <si>
    <t>DN-260830-001</t>
  </si>
  <si>
    <t>LOT-STEEL-260830</t>
  </si>
  <si>
    <t>Supplier delivered late</t>
  </si>
  <si>
    <t>LOT-BOLT-260830</t>
  </si>
  <si>
    <t>DN-260817-001</t>
  </si>
  <si>
    <t>LOT-FST-260817</t>
  </si>
  <si>
    <t>DN-260815-002</t>
  </si>
  <si>
    <t>LOT-LUB-260815</t>
  </si>
  <si>
    <t>GR-2026-0007</t>
  </si>
  <si>
    <t>LOT-CHM-260817</t>
  </si>
  <si>
    <t>Two containers damaged during transit</t>
  </si>
  <si>
    <t>LOT-FLT-260819</t>
  </si>
  <si>
    <t>GR-2026-0008</t>
  </si>
  <si>
    <t>DN-260908-001</t>
  </si>
  <si>
    <t>LOT-STL-260908</t>
  </si>
  <si>
    <t>LOT-WLD-260825</t>
  </si>
  <si>
    <t>Fandi</t>
  </si>
  <si>
    <t>GR-2026-0009</t>
  </si>
  <si>
    <t>Delivery Status</t>
  </si>
  <si>
    <t>C-01-01</t>
  </si>
  <si>
    <t>C-01-02</t>
  </si>
  <si>
    <t>Zone C - Bulk Storage Position 01</t>
  </si>
  <si>
    <t>Zone C - Bulk Storage Position 02</t>
  </si>
  <si>
    <t>Zone A - Rack 01 Level 01 Bin 01</t>
  </si>
  <si>
    <t>Zone A - Rack 01 Level 01 Bin 02</t>
  </si>
  <si>
    <t>Zone A - Rack 01 Level 02 Bin 01</t>
  </si>
  <si>
    <t>Zone A - Rack 01 Level 02 Bin 02</t>
  </si>
  <si>
    <t>Zone A - Rack 01 Level 03 Bin 01</t>
  </si>
  <si>
    <t>Zone A - Rack 01 Level 03 Bin 02</t>
  </si>
  <si>
    <t>Zone B - Rack 01 Level 01 Bin 02</t>
  </si>
  <si>
    <t>Zone B - Rack 01 Level 02 Bin 01</t>
  </si>
  <si>
    <t>E-01</t>
  </si>
  <si>
    <t>Zone E - Receiving Dock 01</t>
  </si>
  <si>
    <t>Zone E - Receiving Dock 02</t>
  </si>
  <si>
    <t>E-02</t>
  </si>
  <si>
    <t>F-01</t>
  </si>
  <si>
    <t>G-01</t>
  </si>
  <si>
    <t>Zone D - Chemical Cabinet Bin 01</t>
  </si>
  <si>
    <t>Zone D - Chemical Cabinet Bin 02</t>
  </si>
  <si>
    <t>Zone D - Consumables Rack 01 Level 01 Bin 01</t>
  </si>
  <si>
    <t>Zone D - Consumables Rack 01 Level 01 Bin 02</t>
  </si>
  <si>
    <t>Zone F - Shipping Staging Area 01</t>
  </si>
  <si>
    <t>Zone G - QC Hold Area 01</t>
  </si>
  <si>
    <t>Accepted Qty</t>
  </si>
  <si>
    <t>Rejected Qty</t>
  </si>
  <si>
    <t>Location Storage/Handling Requirement</t>
  </si>
  <si>
    <t>Put Away Number</t>
  </si>
  <si>
    <t>Put Away Line</t>
  </si>
  <si>
    <t>Put Away Date</t>
  </si>
  <si>
    <t>From Location</t>
  </si>
  <si>
    <t>To Location</t>
  </si>
  <si>
    <t>Put Away Status</t>
  </si>
  <si>
    <t>Put Away Qty</t>
  </si>
  <si>
    <t>PA-2026-0005</t>
  </si>
  <si>
    <t>PA-2026-0006</t>
  </si>
  <si>
    <t>PA-2026-0007</t>
  </si>
  <si>
    <t>PA-2026-0008</t>
  </si>
  <si>
    <t>PA-2026-0009</t>
  </si>
  <si>
    <t>Bulk Storage</t>
  </si>
  <si>
    <t>B-01-01-02</t>
  </si>
  <si>
    <t>Zone B - Rack 01 Level 01 Bin 01</t>
  </si>
  <si>
    <t>Zone B - Rack 02 Level 01 Bin 01</t>
  </si>
  <si>
    <t>Zone B - Rack 02 Level 02 Bin 01</t>
  </si>
  <si>
    <t>Zone A - Rack 02 Level 01 Bin 02</t>
  </si>
  <si>
    <t>Zone A - Rack 02 Level 01 Bin 01</t>
  </si>
  <si>
    <t>Zone A - Rack 02 Level 01 Bin 03</t>
  </si>
  <si>
    <t>Suggested Storage Location (Ref)</t>
  </si>
  <si>
    <t>Remaining quantity awaiting forklift availability</t>
  </si>
  <si>
    <t>07_MATERIAL_REQUEST  |  Warehouse Operations in a Heavy Equipment Manufacturing Environment</t>
  </si>
  <si>
    <t>Request Number</t>
  </si>
  <si>
    <t>Request Line</t>
  </si>
  <si>
    <t>Request Date</t>
  </si>
  <si>
    <t>Required Date</t>
  </si>
  <si>
    <t>Requesting Department</t>
  </si>
  <si>
    <t>Requester</t>
  </si>
  <si>
    <t>Quantity Requested</t>
  </si>
  <si>
    <t>Request Priority</t>
  </si>
  <si>
    <t>Available Stock (Ref)</t>
  </si>
  <si>
    <t>Stock Sufficiency Check</t>
  </si>
  <si>
    <t>Approval Status</t>
  </si>
  <si>
    <t>Total Issued (Ref)</t>
  </si>
  <si>
    <t>Request Status</t>
  </si>
  <si>
    <t>Request Line Key (Helper)</t>
  </si>
  <si>
    <t>MR-2026-0001</t>
  </si>
  <si>
    <t>Production</t>
  </si>
  <si>
    <t>Agung</t>
  </si>
  <si>
    <t>Routine</t>
  </si>
  <si>
    <t>Ini Look up dari stock card</t>
  </si>
  <si>
    <t>Open</t>
  </si>
  <si>
    <t>MR-2026-0002</t>
  </si>
  <si>
    <t>Maintenance</t>
  </si>
  <si>
    <t>Bani</t>
  </si>
  <si>
    <t>Machine breakdown - urgent filter replacement</t>
  </si>
  <si>
    <t>MR-2026-0003</t>
  </si>
  <si>
    <t>Rina</t>
  </si>
  <si>
    <t>MR-2026-0004</t>
  </si>
  <si>
    <t>Assembly</t>
  </si>
  <si>
    <t>Dedi</t>
  </si>
  <si>
    <t>Pending</t>
  </si>
  <si>
    <t>Awaiting supervisor approval</t>
  </si>
  <si>
    <t>MR-2026-0005</t>
  </si>
  <si>
    <t>Urgent material for production schedule</t>
  </si>
  <si>
    <t>MR-2026-0006</t>
  </si>
  <si>
    <t>Routine preventive maintenance</t>
  </si>
  <si>
    <t>MR-2026-0007</t>
  </si>
  <si>
    <t>Rejected</t>
  </si>
  <si>
    <t>Cancelled by requester</t>
  </si>
  <si>
    <t>MR-2026-0008</t>
  </si>
  <si>
    <t>QC</t>
  </si>
  <si>
    <t>Siti</t>
  </si>
  <si>
    <t>MR-2026-0009</t>
  </si>
  <si>
    <t>Production backlog</t>
  </si>
  <si>
    <t>MR-2026-0010</t>
  </si>
  <si>
    <t>Awaiting approval</t>
  </si>
  <si>
    <t>MR-2026-0011</t>
  </si>
  <si>
    <t>Preventive maintenance</t>
  </si>
  <si>
    <t>MR-2026-0012</t>
  </si>
  <si>
    <t>08_PICKING_LIST  |  Warehouse Operations in a Heavy Equipment Manufacturing Environment</t>
  </si>
  <si>
    <t>Pick Number</t>
  </si>
  <si>
    <t>Pick Line</t>
  </si>
  <si>
    <t>Pick Date</t>
  </si>
  <si>
    <t>Requesting Department (Ref)</t>
  </si>
  <si>
    <t>Request Priority (Ref)</t>
  </si>
  <si>
    <t>Quantity Requested (Ref)</t>
  </si>
  <si>
    <t>Pick Location (Ref)</t>
  </si>
  <si>
    <t>Available Stock</t>
  </si>
  <si>
    <t>Quantity Picked</t>
  </si>
  <si>
    <t>Pick Status</t>
  </si>
  <si>
    <t>Picker</t>
  </si>
  <si>
    <t>Pick Line Key (Helper)</t>
  </si>
  <si>
    <t>PL-2026-0001</t>
  </si>
  <si>
    <t>DaDari Stock Card</t>
  </si>
  <si>
    <t>Dari Stock Card</t>
  </si>
  <si>
    <t>PL-2026-0002</t>
  </si>
  <si>
    <t>Dimas</t>
  </si>
  <si>
    <t>Urgent maintenance request</t>
  </si>
  <si>
    <t>PL-2026-0003</t>
  </si>
  <si>
    <t>PL-2026-0004</t>
  </si>
  <si>
    <t>Production replenishment</t>
  </si>
  <si>
    <t>PL-2026-0005</t>
  </si>
  <si>
    <t>PL-2026-0006</t>
  </si>
  <si>
    <t>QC inspection material</t>
  </si>
  <si>
    <t>PL-2026-0007</t>
  </si>
  <si>
    <t>Production priority</t>
  </si>
  <si>
    <t>PL-2026-0008</t>
  </si>
  <si>
    <t>PL-2026-0009</t>
  </si>
  <si>
    <t>PL-2026-0010</t>
  </si>
  <si>
    <t>09_GOODS_ISSUE  |  Warehouse Operations in a Heavy Equipment Manufacturing Environment</t>
  </si>
  <si>
    <t>GI Number</t>
  </si>
  <si>
    <t>GI Line</t>
  </si>
  <si>
    <t>GI Date</t>
  </si>
  <si>
    <t>Issuing Location (Ref)</t>
  </si>
  <si>
    <t>Quantity Picked (Ref)</t>
  </si>
  <si>
    <t>Quantity Issued</t>
  </si>
  <si>
    <t>Issue Variance</t>
  </si>
  <si>
    <t>Issue Status</t>
  </si>
  <si>
    <t>Issued By</t>
  </si>
  <si>
    <t>GI Line Key (Helper)</t>
  </si>
  <si>
    <t>GI-2026-0001</t>
  </si>
  <si>
    <t>GI-2026-0002</t>
  </si>
  <si>
    <t>Urgent maintenance request completed</t>
  </si>
  <si>
    <t>GI-2026-0003</t>
  </si>
  <si>
    <t>GI-2026-0004</t>
  </si>
  <si>
    <t>5 pcs reserved for quality verification before assembly</t>
  </si>
  <si>
    <t>GI-2026-0005</t>
  </si>
  <si>
    <t>GI-2026-0006</t>
  </si>
  <si>
    <t>GI-2026-0007</t>
  </si>
  <si>
    <t>GI-2026-0008</t>
  </si>
  <si>
    <t>GI-2026-0009</t>
  </si>
  <si>
    <t>GI-2026-0010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</si>
</sst>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%;\(0.0%\)"/>
    <numFmt numFmtId="166" formatCode="#,##0;\(#,##0\)"/>
    <numFmt numFmtId="167" formatCode="_-[$Rp-421]* #,##0_-;\-[$Rp-421]* #,##0_-;_-[$Rp-421]* &quot;-&quot;??_-;_-@_-"/>
    <numFmt numFmtId="168" formatCode="_-[$Rp-421]* #,##0_-;\-[$Rp-421]* #,##0_-;_-[$Rp-421]* &quot;-&quot;_-;_-@_-"/>
    <numFmt numFmtId="169" formatCode="yyyy/mm/dd"/>
  </numFmts>
  <fonts count="1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10"/>
      <color rgb="FF000000"/>
      <name val="Arial"/>
      <family val="2"/>
    </font>
    <font>
      <i/>
      <sz val="10"/>
      <color rgb="FF7F7F7F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0"/>
      <color theme="0" tint="-0.499984740745262"/>
      <name val="Arial"/>
      <family val="2"/>
    </font>
    <font>
      <i/>
      <sz val="10"/>
      <color rgb="FF0000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7C80"/>
        <bgColor indexed="64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right"/>
    </xf>
    <xf numFmtId="0" fontId="4" fillId="0" borderId="0" xfId="0" applyFont="1"/>
    <xf numFmtId="0" fontId="5" fillId="0" borderId="0" xfId="0" applyFont="1"/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3" fontId="6" fillId="0" borderId="1" xfId="0" applyNumberFormat="1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65" fontId="8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right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4" fontId="7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right"/>
    </xf>
    <xf numFmtId="166" fontId="8" fillId="0" borderId="1" xfId="0" applyNumberFormat="1" applyFont="1" applyBorder="1" applyAlignment="1">
      <alignment horizontal="right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horizontal="right" vertical="center" wrapText="1"/>
    </xf>
    <xf numFmtId="3" fontId="0" fillId="0" borderId="0" xfId="0" applyNumberFormat="1" applyAlignment="1">
      <alignment horizontal="right" vertical="center" wrapText="1"/>
    </xf>
    <xf numFmtId="167" fontId="3" fillId="0" borderId="1" xfId="0" applyNumberFormat="1" applyFont="1" applyBorder="1" applyAlignment="1">
      <alignment horizontal="right"/>
    </xf>
    <xf numFmtId="0" fontId="11" fillId="0" borderId="0" xfId="0" applyFont="1" applyAlignment="1">
      <alignment vertical="center" wrapText="1"/>
    </xf>
    <xf numFmtId="0" fontId="12" fillId="0" borderId="0" xfId="1" applyAlignment="1">
      <alignment vertical="center" wrapText="1"/>
    </xf>
    <xf numFmtId="0" fontId="0" fillId="0" borderId="0" xfId="0" applyAlignment="1">
      <alignment horizontal="right" vertical="center" wrapText="1"/>
    </xf>
    <xf numFmtId="14" fontId="0" fillId="0" borderId="0" xfId="0" applyNumberFormat="1" applyAlignment="1">
      <alignment vertical="center" wrapText="1"/>
    </xf>
    <xf numFmtId="164" fontId="0" fillId="0" borderId="0" xfId="0" applyNumberFormat="1"/>
    <xf numFmtId="168" fontId="2" fillId="3" borderId="1" xfId="0" applyNumberFormat="1" applyFont="1" applyFill="1" applyBorder="1" applyAlignment="1">
      <alignment horizontal="center" vertical="center" wrapText="1"/>
    </xf>
    <xf numFmtId="168" fontId="8" fillId="0" borderId="1" xfId="0" applyNumberFormat="1" applyFont="1" applyBorder="1" applyAlignment="1">
      <alignment horizontal="left"/>
    </xf>
    <xf numFmtId="168" fontId="0" fillId="0" borderId="0" xfId="0" applyNumberFormat="1" applyAlignment="1">
      <alignment horizontal="left"/>
    </xf>
    <xf numFmtId="168" fontId="6" fillId="0" borderId="1" xfId="0" applyNumberFormat="1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right"/>
    </xf>
    <xf numFmtId="0" fontId="13" fillId="0" borderId="1" xfId="0" applyFont="1" applyBorder="1" applyAlignment="1">
      <alignment horizontal="right"/>
    </xf>
    <xf numFmtId="3" fontId="13" fillId="0" borderId="1" xfId="0" applyNumberFormat="1" applyFont="1" applyBorder="1" applyAlignment="1">
      <alignment horizontal="right"/>
    </xf>
    <xf numFmtId="0" fontId="6" fillId="0" borderId="0" xfId="0" applyFont="1" applyBorder="1" applyAlignment="1">
      <alignment horizontal="left"/>
    </xf>
    <xf numFmtId="0" fontId="6" fillId="0" borderId="0" xfId="0" applyFont="1" applyBorder="1" applyAlignment="1">
      <alignment horizontal="right"/>
    </xf>
    <xf numFmtId="164" fontId="6" fillId="0" borderId="0" xfId="0" applyNumberFormat="1" applyFont="1" applyBorder="1" applyAlignment="1">
      <alignment horizontal="right"/>
    </xf>
    <xf numFmtId="0" fontId="13" fillId="0" borderId="0" xfId="0" applyFont="1" applyBorder="1" applyAlignment="1">
      <alignment horizontal="right"/>
    </xf>
    <xf numFmtId="0" fontId="7" fillId="0" borderId="0" xfId="0" applyFont="1" applyBorder="1" applyAlignment="1">
      <alignment horizontal="right"/>
    </xf>
    <xf numFmtId="0" fontId="7" fillId="0" borderId="0" xfId="0" applyFont="1" applyBorder="1" applyAlignment="1">
      <alignment horizontal="left"/>
    </xf>
    <xf numFmtId="3" fontId="7" fillId="0" borderId="0" xfId="0" applyNumberFormat="1" applyFont="1" applyBorder="1" applyAlignment="1">
      <alignment horizontal="right"/>
    </xf>
    <xf numFmtId="4" fontId="7" fillId="0" borderId="0" xfId="0" applyNumberFormat="1" applyFont="1" applyBorder="1" applyAlignment="1">
      <alignment horizontal="right"/>
    </xf>
    <xf numFmtId="164" fontId="7" fillId="0" borderId="0" xfId="0" applyNumberFormat="1" applyFont="1" applyBorder="1" applyAlignment="1">
      <alignment horizontal="right"/>
    </xf>
    <xf numFmtId="164" fontId="6" fillId="0" borderId="0" xfId="0" applyNumberFormat="1" applyFont="1" applyBorder="1" applyAlignment="1">
      <alignment horizontal="left"/>
    </xf>
    <xf numFmtId="3" fontId="6" fillId="0" borderId="0" xfId="0" applyNumberFormat="1" applyFont="1" applyBorder="1" applyAlignment="1">
      <alignment horizontal="right"/>
    </xf>
    <xf numFmtId="3" fontId="8" fillId="0" borderId="0" xfId="0" applyNumberFormat="1" applyFont="1" applyBorder="1" applyAlignment="1">
      <alignment horizontal="right"/>
    </xf>
    <xf numFmtId="0" fontId="8" fillId="0" borderId="0" xfId="0" applyFont="1" applyBorder="1" applyAlignment="1">
      <alignment horizontal="center"/>
    </xf>
    <xf numFmtId="166" fontId="8" fillId="0" borderId="0" xfId="0" applyNumberFormat="1" applyFont="1" applyBorder="1" applyAlignment="1">
      <alignment horizontal="right"/>
    </xf>
    <xf numFmtId="165" fontId="8" fillId="0" borderId="0" xfId="0" applyNumberFormat="1" applyFont="1" applyBorder="1" applyAlignment="1">
      <alignment horizontal="right"/>
    </xf>
    <xf numFmtId="0" fontId="7" fillId="0" borderId="0" xfId="0" applyFont="1" applyBorder="1" applyAlignment="1">
      <alignment horizontal="center"/>
    </xf>
    <xf numFmtId="0" fontId="9" fillId="0" borderId="0" xfId="0" applyFont="1" applyBorder="1" applyAlignment="1">
      <alignment horizontal="left"/>
    </xf>
    <xf numFmtId="0" fontId="0" fillId="4" borderId="0" xfId="0" applyFill="1"/>
    <xf numFmtId="168" fontId="6" fillId="0" borderId="0" xfId="0" applyNumberFormat="1" applyFont="1" applyBorder="1" applyAlignment="1">
      <alignment horizontal="left" vertical="center"/>
    </xf>
    <xf numFmtId="168" fontId="8" fillId="0" borderId="0" xfId="0" applyNumberFormat="1" applyFont="1" applyBorder="1" applyAlignment="1">
      <alignment horizontal="left"/>
    </xf>
    <xf numFmtId="0" fontId="6" fillId="0" borderId="0" xfId="0" applyFont="1" applyBorder="1" applyAlignment="1">
      <alignment horizontal="center"/>
    </xf>
    <xf numFmtId="164" fontId="8" fillId="0" borderId="0" xfId="0" applyNumberFormat="1" applyFont="1" applyBorder="1" applyAlignment="1">
      <alignment horizontal="right"/>
    </xf>
    <xf numFmtId="3" fontId="3" fillId="0" borderId="0" xfId="0" applyNumberFormat="1" applyFont="1" applyBorder="1" applyAlignment="1">
      <alignment horizontal="right"/>
    </xf>
    <xf numFmtId="3" fontId="13" fillId="0" borderId="0" xfId="0" applyNumberFormat="1" applyFont="1" applyBorder="1" applyAlignment="1">
      <alignment horizontal="right"/>
    </xf>
    <xf numFmtId="169" fontId="7" fillId="0" borderId="1" xfId="0" applyNumberFormat="1" applyFont="1" applyBorder="1" applyAlignment="1">
      <alignment horizontal="right"/>
    </xf>
    <xf numFmtId="0" fontId="7" fillId="5" borderId="1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5" fillId="0" borderId="0" xfId="0" applyFont="1" applyFill="1"/>
    <xf numFmtId="0" fontId="0" fillId="0" borderId="0" xfId="0" applyFill="1"/>
    <xf numFmtId="0" fontId="11" fillId="0" borderId="0" xfId="0" applyFont="1" applyFill="1" applyAlignment="1">
      <alignment horizontal="center" vertical="center" wrapText="1"/>
    </xf>
    <xf numFmtId="0" fontId="11" fillId="0" borderId="0" xfId="0" applyFont="1" applyFill="1" applyAlignment="1">
      <alignment horizontal="right" vertical="center" wrapText="1"/>
    </xf>
    <xf numFmtId="3" fontId="0" fillId="0" borderId="0" xfId="0" applyNumberFormat="1" applyFill="1" applyAlignment="1">
      <alignment horizontal="right" vertical="center" wrapText="1"/>
    </xf>
    <xf numFmtId="0" fontId="0" fillId="0" borderId="2" xfId="0" applyBorder="1"/>
    <xf numFmtId="3" fontId="7" fillId="4" borderId="1" xfId="0" applyNumberFormat="1" applyFont="1" applyFill="1" applyBorder="1" applyAlignment="1">
      <alignment horizontal="left"/>
    </xf>
    <xf numFmtId="3" fontId="8" fillId="6" borderId="1" xfId="0" applyNumberFormat="1" applyFont="1" applyFill="1" applyBorder="1" applyAlignment="1">
      <alignment horizontal="right"/>
    </xf>
    <xf numFmtId="0" fontId="7" fillId="7" borderId="1" xfId="0" applyFont="1" applyFill="1" applyBorder="1" applyAlignment="1">
      <alignment horizontal="left"/>
    </xf>
    <xf numFmtId="164" fontId="14" fillId="0" borderId="1" xfId="0" applyNumberFormat="1" applyFont="1" applyBorder="1" applyAlignment="1">
      <alignment horizontal="right"/>
    </xf>
    <xf numFmtId="0" fontId="14" fillId="0" borderId="1" xfId="0" applyFont="1" applyBorder="1" applyAlignment="1">
      <alignment horizontal="right"/>
    </xf>
    <xf numFmtId="164" fontId="9" fillId="0" borderId="1" xfId="0" applyNumberFormat="1" applyFont="1" applyBorder="1" applyAlignment="1">
      <alignment horizontal="left"/>
    </xf>
    <xf numFmtId="3" fontId="3" fillId="0" borderId="1" xfId="0" applyNumberFormat="1" applyFont="1" applyBorder="1" applyAlignment="1">
      <alignment horizontal="center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</cellXfs>
  <cellStyles count="2">
    <cellStyle name="Hyperlink" xfId="1" builtinId="8"/>
    <cellStyle name="Normal" xfId="0" builtinId="0"/>
  </cellStyles>
  <dxfs count="148">
    <dxf>
      <font>
        <b/>
        <color rgb="FFC00000"/>
        <name val="Arial"/>
        <charset val="1"/>
      </font>
    </dxf>
    <dxf>
      <font>
        <color rgb="FFC00000"/>
        <name val="Arial"/>
        <charset val="1"/>
      </font>
      <fill>
        <patternFill>
          <bgColor rgb="FFFFF2CC"/>
        </patternFill>
      </fill>
    </dxf>
    <dxf>
      <font>
        <b/>
        <color rgb="FFC00000"/>
        <name val="Arial"/>
        <charset val="1"/>
      </font>
    </dxf>
    <dxf>
      <fill>
        <patternFill>
          <bgColor rgb="FF92D050"/>
        </patternFill>
      </fill>
    </dxf>
    <dxf>
      <font>
        <color rgb="FFC00000"/>
        <name val="Arial"/>
        <charset val="1"/>
      </font>
      <fill>
        <patternFill>
          <bgColor rgb="FFFFF2CC"/>
        </patternFill>
      </fill>
    </dxf>
    <dxf>
      <font>
        <i/>
        <color rgb="FF808080"/>
        <name val="Arial"/>
        <charset val="1"/>
      </font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i/>
        <color rgb="FF808080"/>
        <name val="Arial"/>
        <charset val="1"/>
      </font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i/>
        <color rgb="FF808080"/>
        <name val="Arial"/>
        <charset val="1"/>
      </font>
    </dxf>
    <dxf>
      <font>
        <b/>
        <i val="0"/>
        <color rgb="FFFF5050"/>
      </font>
      <fill>
        <patternFill>
          <bgColor theme="0"/>
        </patternFill>
      </fill>
    </dxf>
    <dxf>
      <font>
        <color rgb="FFC00000"/>
        <name val="Arial"/>
        <charset val="1"/>
      </font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color rgb="FFC00000"/>
        <name val="Arial"/>
        <charset val="1"/>
      </font>
    </dxf>
    <dxf>
      <fill>
        <patternFill>
          <bgColor rgb="FFE2EFDA"/>
        </patternFill>
      </fill>
    </dxf>
    <dxf>
      <font>
        <i/>
        <color rgb="FF808080"/>
        <name val="Arial"/>
        <charset val="1"/>
      </font>
      <fill>
        <patternFill>
          <bgColor rgb="FFD9D9D9"/>
        </patternFill>
      </fill>
    </dxf>
    <dxf>
      <font>
        <color theme="1"/>
        <name val="Arial"/>
        <charset val="1"/>
      </font>
      <fill>
        <patternFill>
          <bgColor rgb="FFFF3300"/>
        </patternFill>
      </fill>
    </dxf>
    <dxf>
      <fill>
        <patternFill>
          <bgColor rgb="FFE2EFDA"/>
        </patternFill>
      </fill>
    </dxf>
    <dxf>
      <font>
        <i/>
        <color rgb="FF808080"/>
        <name val="Arial"/>
        <charset val="1"/>
      </font>
      <fill>
        <patternFill>
          <bgColor rgb="FFD9D9D9"/>
        </patternFill>
      </fill>
    </dxf>
    <dxf>
      <fill>
        <patternFill>
          <bgColor rgb="FFFFCC00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ont>
        <i/>
        <color rgb="FF808080"/>
        <name val="Arial"/>
        <charset val="1"/>
      </font>
    </dxf>
    <dxf>
      <font>
        <i/>
        <color rgb="FF808080"/>
        <name val="Arial"/>
        <charset val="1"/>
      </font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ont>
        <color rgb="FFFFFF00"/>
      </font>
      <fill>
        <patternFill>
          <bgColor rgb="FFFF00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color rgb="FFC00000"/>
        <name val="Arial"/>
        <charset val="1"/>
      </font>
    </dxf>
    <dxf>
      <fill>
        <patternFill>
          <bgColor rgb="FFE2EFDA"/>
        </patternFill>
      </fill>
    </dxf>
    <dxf>
      <fill>
        <patternFill>
          <bgColor rgb="FFD9D9D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numFmt numFmtId="3" formatCode="#,##0"/>
    </dxf>
    <dxf>
      <border outline="0">
        <left style="thin">
          <color rgb="FFB7B7B7"/>
        </left>
      </border>
    </dxf>
    <dxf>
      <fill>
        <patternFill patternType="solid">
          <fgColor indexed="64"/>
          <bgColor rgb="FFFF7C80"/>
        </patternFill>
      </fill>
    </dxf>
    <dxf>
      <border outline="0">
        <right style="thin">
          <color rgb="FFB7B7B7"/>
        </right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7F7F7F"/>
        <name val="Arial"/>
        <family val="2"/>
        <scheme val="none"/>
      </font>
      <numFmt numFmtId="164" formatCode="yyyy\-mm\-dd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border outline="0">
        <left style="thin">
          <color rgb="FFB7B7B7"/>
        </left>
      </border>
    </dxf>
    <dxf>
      <fill>
        <patternFill patternType="solid">
          <fgColor indexed="64"/>
          <bgColor rgb="FFFFFF00"/>
        </patternFill>
      </fill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3" formatCode="#,##0"/>
      <fill>
        <patternFill patternType="solid">
          <fgColor indexed="64"/>
          <bgColor rgb="FFFF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numFmt numFmtId="3" formatCode="#,##0"/>
      <border outline="0">
        <right style="thin">
          <color rgb="FFB7B7B7"/>
        </right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0" formatCode="General"/>
    </dxf>
    <dxf>
      <numFmt numFmtId="0" formatCode="General"/>
    </dxf>
    <dxf>
      <border outline="0">
        <left style="thin">
          <color rgb="FFB7B7B7"/>
        </left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outline="0">
        <left style="thin">
          <color rgb="FFB7B7B7"/>
        </left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outline="0">
        <left style="thin">
          <color rgb="FFB7B7B7"/>
        </left>
        <right style="thin">
          <color rgb="FFB7B7B7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3" formatCode="#,##0"/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strike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border outline="0">
        <right style="thin">
          <color rgb="FFB7B7B7"/>
        </right>
      </border>
    </dxf>
    <dxf>
      <font>
        <sz val="10"/>
        <color rgb="FF008000"/>
        <name val="Arial"/>
        <family val="2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0" formatCode="General"/>
    </dxf>
    <dxf>
      <border outline="0">
        <left style="thin">
          <color rgb="FFB7B7B7"/>
        </left>
      </border>
    </dxf>
    <dxf>
      <border outline="0">
        <right style="thin">
          <color rgb="FFB7B7B7"/>
        </right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169" formatCode="yyyy/mm/dd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0.0%;\(0.0%\)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166" formatCode="#,##0;\(#,##0\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164" formatCode="yyyy\-mm\-dd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3" formatCode="#,##0"/>
    </dxf>
    <dxf>
      <numFmt numFmtId="0" formatCode="General"/>
    </dxf>
    <dxf>
      <numFmt numFmtId="0" formatCode="General"/>
      <border>
        <left style="thin">
          <color rgb="FFB7B7B7"/>
        </left>
      </border>
    </dxf>
    <dxf>
      <font>
        <strike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border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 tint="-0.499984740745262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 tint="-0.499984740745262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164" formatCode="yyyy\-mm\-dd"/>
    </dxf>
    <dxf>
      <border diagonalUp="0" diagonalDown="0" outline="0">
        <left style="thin">
          <color rgb="FFB7B7B7"/>
        </left>
        <right/>
        <top/>
        <bottom/>
      </border>
    </dxf>
    <dxf>
      <border outline="0">
        <left style="thin">
          <color rgb="FFB7B7B7"/>
        </left>
      </border>
    </dxf>
    <dxf>
      <numFmt numFmtId="168" formatCode="_-[$Rp-421]* #,##0_-;\-[$Rp-421]* #,##0_-;_-[$Rp-421]* &quot;-&quot;_-;_-@_-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/>
        <top/>
        <bottom/>
      </border>
    </dxf>
    <dxf>
      <numFmt numFmtId="168" formatCode="_-[$Rp-421]* #,##0_-;\-[$Rp-421]* #,##0_-;_-[$Rp-421]* &quot;-&quot;_-;_-@_-"/>
      <alignment horizontal="left" textRotation="0" indent="0" justifyLastLine="0" shrinkToFit="0" readingOrder="0"/>
      <border outline="0">
        <left style="thin">
          <color rgb="FFB7B7B7"/>
        </left>
      </border>
    </dxf>
    <dxf>
      <border diagonalUp="0" diagonalDown="0" outline="0">
        <left/>
        <right style="thin">
          <color rgb="FFB7B7B7"/>
        </right>
        <top/>
        <bottom/>
      </border>
    </dxf>
    <dxf>
      <numFmt numFmtId="168" formatCode="_-[$Rp-421]* #,##0_-;\-[$Rp-421]* #,##0_-;_-[$Rp-421]* &quot;-&quot;_-;_-@_-"/>
      <alignment horizontal="left" vertical="center" textRotation="0" wrapText="0" indent="0" justifyLastLine="0" shrinkToFit="0" readingOrder="0"/>
      <border outline="0">
        <right style="thin">
          <color rgb="FFB7B7B7"/>
        </right>
      </border>
    </dxf>
    <dxf>
      <border diagonalUp="0" diagonalDown="0" outline="0">
        <left/>
        <right style="thin">
          <color rgb="FFB7B7B7"/>
        </right>
        <top/>
        <bottom/>
      </border>
    </dxf>
    <dxf>
      <border outline="0">
        <left style="thin">
          <color rgb="FFB7B7B7"/>
        </left>
        <right style="thin">
          <color rgb="FFB7B7B7"/>
        </right>
      </border>
    </dxf>
    <dxf>
      <font>
        <strike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</dxf>
    <dxf>
      <numFmt numFmtId="0" formatCode="General"/>
      <border outline="0">
        <right style="thin">
          <color rgb="FFB7B7B7"/>
        </right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_-[$Rp-421]* #,##0_-;\-[$Rp-421]* #,##0_-;_-[$Rp-421]* &quot;-&quot;??_-;_-@_-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left style="thin">
          <color rgb="FFB7B7B7"/>
        </left>
      </border>
    </dxf>
    <dxf>
      <alignment horizontal="left" vertical="bottom" textRotation="0" wrapText="0" indent="0" justifyLastLine="0" shrinkToFit="0" readingOrder="0"/>
    </dxf>
    <dxf>
      <border outline="0">
        <right style="thin">
          <color rgb="FFB7B7B7"/>
        </right>
      </border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B7B7B7"/>
      <rgbColor rgb="FF808080"/>
      <rgbColor rgb="FF9999FF"/>
      <rgbColor rgb="FF993366"/>
      <rgbColor rgb="FFFFF2CC"/>
      <rgbColor rgb="FFDDEBF7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E2EFDA"/>
      <rgbColor rgb="FFFCE4D6"/>
      <rgbColor rgb="FF99CCFF"/>
      <rgbColor rgb="FFFF99CC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595959"/>
      <rgbColor rgb="FF878787"/>
      <rgbColor rgb="FF003366"/>
      <rgbColor rgb="FF4F81BD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8000"/>
      <color rgb="FF0000FF"/>
      <color rgb="FFFF3300"/>
      <color rgb="FFFFCC00"/>
      <color rgb="FFFF505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pgrade%20skill\1.%20Excel%20-%20Data%20Analytics\Project\WW%20Warehouse.xlsx" TargetMode="External"/><Relationship Id="rId1" Type="http://schemas.openxmlformats.org/officeDocument/2006/relationships/externalLinkPath" Target="WW%20Warehou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1_Master_Material"/>
      <sheetName val="02_Master_Supplier"/>
      <sheetName val="03_Master_Location"/>
      <sheetName val="04_Purchase_Order"/>
      <sheetName val="05_Goods_Receipt"/>
      <sheetName val="06_Put_Away"/>
      <sheetName val="07_Material_Request"/>
      <sheetName val="08_Picking_List"/>
      <sheetName val="09_Goods_Issue"/>
      <sheetName val="10_Stock_Card"/>
      <sheetName val="11_Cycle_Count"/>
      <sheetName val="12_Dashboard"/>
    </sheetNames>
    <sheetDataSet>
      <sheetData sheetId="0"/>
      <sheetData sheetId="1"/>
      <sheetData sheetId="2"/>
      <sheetData sheetId="3"/>
      <sheetData sheetId="4"/>
      <sheetData sheetId="5">
        <row r="3">
          <cell r="F3" t="str">
            <v>GR Line</v>
          </cell>
          <cell r="I3" t="str">
            <v>Material Description</v>
          </cell>
        </row>
        <row r="4">
          <cell r="F4">
            <v>10</v>
          </cell>
          <cell r="I4" t="str">
            <v>Engine Oil Filter (Cat 320D)</v>
          </cell>
        </row>
        <row r="5">
          <cell r="F5">
            <v>20</v>
          </cell>
          <cell r="I5" t="str">
            <v>Air Filter Element - Primary</v>
          </cell>
        </row>
        <row r="6">
          <cell r="F6">
            <v>10</v>
          </cell>
          <cell r="I6" t="str">
            <v>Hydraulic Cylinder Seal Kit 80mm</v>
          </cell>
        </row>
        <row r="7">
          <cell r="F7">
            <v>20</v>
          </cell>
          <cell r="I7" t="str">
            <v>Hydraulic Hose 1/2in x 3m</v>
          </cell>
        </row>
        <row r="8">
          <cell r="F8">
            <v>30</v>
          </cell>
          <cell r="I8" t="str">
            <v>Bearing 6205-2RS</v>
          </cell>
        </row>
        <row r="9">
          <cell r="F9">
            <v>10</v>
          </cell>
          <cell r="I9" t="str">
            <v>Grease Cartridge NLGI2 400g</v>
          </cell>
        </row>
        <row r="10">
          <cell r="F10">
            <v>20</v>
          </cell>
          <cell r="I10" t="str">
            <v>Radiator Coolant 20L</v>
          </cell>
        </row>
        <row r="11">
          <cell r="F11">
            <v>10</v>
          </cell>
          <cell r="I11" t="str">
            <v>Flat Washer M12 Zinc Plated</v>
          </cell>
        </row>
        <row r="12">
          <cell r="F12">
            <v>10</v>
          </cell>
          <cell r="I12" t="str">
            <v>Industrial Degreaser 20L</v>
          </cell>
        </row>
        <row r="13">
          <cell r="F13">
            <v>20</v>
          </cell>
          <cell r="I13" t="str">
            <v>Cabin Air Filter</v>
          </cell>
        </row>
        <row r="14">
          <cell r="F14">
            <v>10</v>
          </cell>
          <cell r="I14" t="str">
            <v>Welding Electrode E7018 3.2mm</v>
          </cell>
        </row>
        <row r="15">
          <cell r="F15">
            <v>10</v>
          </cell>
          <cell r="I15" t="str">
            <v>Steel Plate 10mm x 2m x 1m</v>
          </cell>
        </row>
        <row r="16">
          <cell r="F16">
            <v>20</v>
          </cell>
          <cell r="I16" t="str">
            <v>Hex Bolt M12x50 Grade 8.8</v>
          </cell>
        </row>
        <row r="17">
          <cell r="F17">
            <v>10</v>
          </cell>
          <cell r="I17" t="str">
            <v>Steel I-Beam 6m Length</v>
          </cell>
        </row>
        <row r="30">
          <cell r="F30" t="str">
            <v>Put Away Qty</v>
          </cell>
        </row>
        <row r="31">
          <cell r="F31">
            <v>40</v>
          </cell>
        </row>
        <row r="32">
          <cell r="F32">
            <v>20</v>
          </cell>
        </row>
        <row r="33">
          <cell r="F33">
            <v>40</v>
          </cell>
        </row>
        <row r="34">
          <cell r="F34">
            <v>20</v>
          </cell>
        </row>
        <row r="35">
          <cell r="F35">
            <v>100</v>
          </cell>
        </row>
        <row r="36">
          <cell r="F36">
            <v>150</v>
          </cell>
        </row>
        <row r="37">
          <cell r="F37">
            <v>80</v>
          </cell>
        </row>
        <row r="38">
          <cell r="F38">
            <v>5000</v>
          </cell>
        </row>
        <row r="39">
          <cell r="F39">
            <v>28</v>
          </cell>
        </row>
        <row r="40">
          <cell r="F40">
            <v>50</v>
          </cell>
        </row>
        <row r="41">
          <cell r="F41">
            <v>250</v>
          </cell>
        </row>
        <row r="42">
          <cell r="F42">
            <v>20</v>
          </cell>
        </row>
        <row r="43">
          <cell r="F43">
            <v>2500</v>
          </cell>
        </row>
        <row r="44">
          <cell r="F44">
            <v>10</v>
          </cell>
        </row>
      </sheetData>
      <sheetData sheetId="6"/>
      <sheetData sheetId="7"/>
      <sheetData sheetId="8">
        <row r="3">
          <cell r="J3" t="str">
            <v>Material Description</v>
          </cell>
          <cell r="P3" t="str">
            <v>Issue Variance</v>
          </cell>
        </row>
        <row r="4">
          <cell r="J4" t="str">
            <v>Hydraulic Cylinder Seal Kit 80mm</v>
          </cell>
          <cell r="P4">
            <v>0</v>
          </cell>
        </row>
        <row r="5">
          <cell r="J5" t="str">
            <v>Hydraulic Hose 1/2in x 3m</v>
          </cell>
          <cell r="P5">
            <v>0</v>
          </cell>
        </row>
        <row r="6">
          <cell r="J6" t="str">
            <v>Engine Oil Filter (Cat 320D)</v>
          </cell>
          <cell r="P6">
            <v>0</v>
          </cell>
        </row>
        <row r="7">
          <cell r="J7" t="str">
            <v>Hex Bolt M12x50 Grade 8.8</v>
          </cell>
          <cell r="P7">
            <v>0</v>
          </cell>
        </row>
        <row r="8">
          <cell r="J8" t="str">
            <v>Welding Electrode E7018 3.2mm</v>
          </cell>
          <cell r="P8">
            <v>0</v>
          </cell>
        </row>
        <row r="9">
          <cell r="J9" t="str">
            <v>Flat Washer M12 Zinc Plated</v>
          </cell>
          <cell r="P9">
            <v>-5</v>
          </cell>
        </row>
        <row r="10">
          <cell r="J10" t="str">
            <v>Steel Plate 10mm x 2m x 1m</v>
          </cell>
          <cell r="P10">
            <v>0</v>
          </cell>
        </row>
        <row r="11">
          <cell r="J11" t="str">
            <v>Air Filter Element - Primary</v>
          </cell>
          <cell r="P11">
            <v>0</v>
          </cell>
        </row>
        <row r="12">
          <cell r="J12" t="str">
            <v>Track Roller Assembly</v>
          </cell>
          <cell r="P12">
            <v>0</v>
          </cell>
        </row>
        <row r="13">
          <cell r="J13" t="str">
            <v>Bucket Teeth (CAT style)</v>
          </cell>
          <cell r="P13">
            <v>0</v>
          </cell>
        </row>
        <row r="14">
          <cell r="J14" t="str">
            <v>Radiator Coolant 20L</v>
          </cell>
          <cell r="P14">
            <v>0</v>
          </cell>
        </row>
        <row r="15">
          <cell r="J15" t="str">
            <v>Turbocharger Assembly (Cat C15)</v>
          </cell>
          <cell r="P15">
            <v>0</v>
          </cell>
        </row>
      </sheetData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bl_MasterMaterial" displayName="tbl_MasterMaterial" ref="A3:N23" totalsRowShown="0">
  <autoFilter ref="A3:N23" xr:uid="{00000000-000C-0000-FFFF-FFFF00000000}"/>
  <tableColumns count="14">
    <tableColumn id="1" xr3:uid="{00000000-0010-0000-0000-000001000000}" name="Material Code" dataDxfId="147"/>
    <tableColumn id="2" xr3:uid="{00000000-0010-0000-0000-000002000000}" name="Material Description" dataDxfId="146"/>
    <tableColumn id="3" xr3:uid="{00000000-0010-0000-0000-000003000000}" name="Material Group" dataDxfId="145"/>
    <tableColumn id="4" xr3:uid="{00000000-0010-0000-0000-000004000000}" name="Base UoM"/>
    <tableColumn id="7" xr3:uid="{00000000-0010-0000-0000-000007000000}" name="Primary Supplier Code"/>
    <tableColumn id="24" xr3:uid="{0F116849-4911-4B80-B390-3C1C1D0A9D49}" name="Default Storage Location" dataDxfId="144"/>
    <tableColumn id="8" xr3:uid="{00000000-0010-0000-0000-000008000000}" name="Standard Cost (per Base UoM)" dataDxfId="143"/>
    <tableColumn id="10" xr3:uid="{00000000-0010-0000-0000-00000A000000}" name="Criticality Flag" dataDxfId="142"/>
    <tableColumn id="11" xr3:uid="{00000000-0010-0000-0000-00000B000000}" name="Storage/Handling Class"/>
    <tableColumn id="12" xr3:uid="{00000000-0010-0000-0000-00000C000000}" name="Min Stock Level"/>
    <tableColumn id="13" xr3:uid="{00000000-0010-0000-0000-00000D000000}" name="Max Stock Level"/>
    <tableColumn id="14" xr3:uid="{00000000-0010-0000-0000-00000E000000}" name="Lead Time (Days)"/>
    <tableColumn id="15" xr3:uid="{00000000-0010-0000-0000-00000F000000}" name="Status"/>
    <tableColumn id="22" xr3:uid="{BC7C3BEF-CB66-4A5F-9E71-E29F8E60C070}" name="Remarks" dataDxfId="14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bl_MasterSupplier" displayName="tbl_MasterSupplier" ref="A3:I13" totalsRowShown="0">
  <autoFilter ref="A3:I13" xr:uid="{00000000-0009-0000-0100-000006000000}"/>
  <tableColumns count="9">
    <tableColumn id="1" xr3:uid="{00000000-0010-0000-0100-000001000000}" name="Supplier Code"/>
    <tableColumn id="2" xr3:uid="{00000000-0010-0000-0100-000002000000}" name="Supplier Name"/>
    <tableColumn id="3" xr3:uid="{00000000-0010-0000-0100-000003000000}" name="Supplier Type"/>
    <tableColumn id="5" xr3:uid="{00000000-0010-0000-0100-000005000000}" name="Country"/>
    <tableColumn id="6" xr3:uid="{00000000-0010-0000-0100-000006000000}" name="Contact Person"/>
    <tableColumn id="7" xr3:uid="{00000000-0010-0000-0100-000007000000}" name="Contact Email"/>
    <tableColumn id="8" xr3:uid="{00000000-0010-0000-0100-000008000000}" name="Contact Phone"/>
    <tableColumn id="9" xr3:uid="{00000000-0010-0000-0100-000009000000}" name="Supplier Rating"/>
    <tableColumn id="10" xr3:uid="{00000000-0010-0000-0100-00000A000000}" name="Statu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56A7FE9-460D-4AB1-A328-57755D543F20}" name="Table12" displayName="Table12" ref="K4:Q13" totalsRowShown="0">
  <autoFilter ref="K4:Q13" xr:uid="{F56A7FE9-460D-4AB1-A328-57755D543F20}"/>
  <tableColumns count="7">
    <tableColumn id="1" xr3:uid="{34E033A9-DD35-49C0-AF53-EFB17927E99D}" name="Column1"/>
    <tableColumn id="2" xr3:uid="{EF7B382C-6778-413D-95E1-43A463808528}" name="Column2"/>
    <tableColumn id="3" xr3:uid="{4D474C34-0081-4041-8761-D5217C2EC54E}" name="Column3"/>
    <tableColumn id="4" xr3:uid="{69C88EB8-7313-48AD-93BA-26B8D2EF052F}" name="Column4"/>
    <tableColumn id="5" xr3:uid="{3AE4C931-03EC-4170-A7A6-ACB55FDA5FC3}" name="Column5"/>
    <tableColumn id="6" xr3:uid="{8DE0EA60-20C3-4181-8CA6-84019AEFEC01}" name="Column6"/>
    <tableColumn id="7" xr3:uid="{44EDEA77-98F7-408F-B5AF-9B72ECA055B8}" name="Status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_MasterLocation" displayName="tbl_MasterLocation" ref="A3:H27" totalsRowShown="0">
  <autoFilter ref="A3:H27" xr:uid="{00000000-0009-0000-0100-000004000000}"/>
  <tableColumns count="8">
    <tableColumn id="1" xr3:uid="{00000000-0010-0000-0200-000001000000}" name="Location Code"/>
    <tableColumn id="2" xr3:uid="{00000000-0010-0000-0200-000002000000}" name="Location Description"/>
    <tableColumn id="3" xr3:uid="{00000000-0010-0000-0200-000003000000}" name="Zone"/>
    <tableColumn id="8" xr3:uid="{276A2345-C837-4FC6-B4E0-FF35EB523268}" name="Location Type" dataDxfId="140"/>
    <tableColumn id="4" xr3:uid="{00000000-0010-0000-0200-000004000000}" name="Storage/Handling Requirement"/>
    <tableColumn id="5" xr3:uid="{00000000-0010-0000-0200-000005000000}" name="Pickable Flag"/>
    <tableColumn id="6" xr3:uid="{00000000-0010-0000-0200-000006000000}" name="Capacity (Max Qty)"/>
    <tableColumn id="7" xr3:uid="{00000000-0010-0000-0200-000007000000}" name="Status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bl_PurchaseOrder" displayName="tbl_PurchaseOrder" ref="A3:S23" totalsRowShown="0">
  <autoFilter ref="A3:S23" xr:uid="{00000000-0009-0000-0100-000009000000}"/>
  <sortState xmlns:xlrd2="http://schemas.microsoft.com/office/spreadsheetml/2017/richdata2" ref="A4:S23">
    <sortCondition ref="A3:A23"/>
  </sortState>
  <tableColumns count="19">
    <tableColumn id="1" xr3:uid="{00000000-0010-0000-0300-000001000000}" name="PO Number"/>
    <tableColumn id="2" xr3:uid="{00000000-0010-0000-0300-000002000000}" name="PO Line"/>
    <tableColumn id="3" xr3:uid="{00000000-0010-0000-0300-000003000000}" name="PO Date"/>
    <tableColumn id="4" xr3:uid="{00000000-0010-0000-0300-000004000000}" name="Supplier Code"/>
    <tableColumn id="5" xr3:uid="{00000000-0010-0000-0300-000005000000}" name="Supplier Name" dataDxfId="139">
      <calculatedColumnFormula>VLOOKUP(tbl_PurchaseOrder[[#This Row],[Supplier Code]],tbl_MasterSupplier[],2,FALSE)</calculatedColumnFormula>
    </tableColumn>
    <tableColumn id="6" xr3:uid="{00000000-0010-0000-0300-000006000000}" name="Material Code"/>
    <tableColumn id="7" xr3:uid="{00000000-0010-0000-0300-000007000000}" name="Material Description" dataDxfId="138">
      <calculatedColumnFormula>_xlfn.XLOOKUP(tbl_PurchaseOrder[[#This Row],[Material Code]],tbl_MasterMaterial[Material Code],tbl_MasterMaterial[Material Description])</calculatedColumnFormula>
    </tableColumn>
    <tableColumn id="8" xr3:uid="{00000000-0010-0000-0300-000008000000}" name="Purchase UoM" dataDxfId="137"/>
    <tableColumn id="9" xr3:uid="{00000000-0010-0000-0300-000009000000}" name="Ordered Qty" dataDxfId="136" totalsRowDxfId="135"/>
    <tableColumn id="10" xr3:uid="{00000000-0010-0000-0300-00000A000000}" name="Unit Price" dataDxfId="134" totalsRowDxfId="133"/>
    <tableColumn id="11" xr3:uid="{00000000-0010-0000-0300-00000B000000}" name="Line Total" dataDxfId="132" totalsRowDxfId="131">
      <calculatedColumnFormula>tbl_PurchaseOrder[[#This Row],[Ordered Qty]]*J4</calculatedColumnFormula>
    </tableColumn>
    <tableColumn id="16" xr3:uid="{00000000-0010-0000-0300-000010000000}" name="Order Priority" dataDxfId="130" totalsRowDxfId="129"/>
    <tableColumn id="17" xr3:uid="{00000000-0010-0000-0300-000011000000}" name="Lead Time (Days)">
      <calculatedColumnFormula>_xlfn.XLOOKUP(tbl_PurchaseOrder[[#This Row],[Material Code]],tbl_MasterMaterial[Material Code],tbl_MasterMaterial[Lead Time (Days)])</calculatedColumnFormula>
    </tableColumn>
    <tableColumn id="18" xr3:uid="{00000000-0010-0000-0300-000012000000}" name="Expected Delivery Date" dataDxfId="128">
      <calculatedColumnFormula>tbl_PurchaseOrder[[#This Row],[PO Date]]+tbl_PurchaseOrder[[#This Row],[Lead Time (Days)]]</calculatedColumnFormula>
    </tableColumn>
    <tableColumn id="13" xr3:uid="{09E53041-1B48-4B81-BCF8-287332AE53AE}" name="Received Qty" dataDxfId="127" totalsRowDxfId="126">
      <calculatedColumnFormula>SUMIFS(tbl_GoodsReceipt[Received Qty],tbl_GoodsReceipt[PO Line Key (Helper)],tbl_PurchaseOrder[[#This Row],[PO Line Key (Helper)]])</calculatedColumnFormula>
    </tableColumn>
    <tableColumn id="14" xr3:uid="{123695AE-1CB2-4070-BEE2-29FE092ACFA7}" name="Outstanding Qty" dataDxfId="125" totalsRowDxfId="124">
      <calculatedColumnFormula>IFERROR(tbl_PurchaseOrder[[#This Row],[Received Qty]]-tbl_PurchaseOrder[[#This Row],[Ordered Qty]],0)</calculatedColumnFormula>
    </tableColumn>
    <tableColumn id="20" xr3:uid="{00000000-0010-0000-0300-000014000000}" name="PO Status" dataDxfId="123">
      <calculatedColumnFormula>IF(tbl_PurchaseOrder[[#This Row],[Received Qty]]=0,"Open",IF(tbl_PurchaseOrder[[#This Row],[Received Qty]]&lt;tbl_PurchaseOrder[[#This Row],[Ordered Qty]],"Partial", "Closed"))</calculatedColumnFormula>
    </tableColumn>
    <tableColumn id="21" xr3:uid="{00000000-0010-0000-0300-000015000000}" name="Remarks" dataDxfId="122"/>
    <tableColumn id="19" xr3:uid="{195CE6D1-9D3F-4D81-9DE2-B82EEBF35742}" name="PO Line Key (Helper)" dataDxfId="121" totalsRowDxfId="120">
      <calculatedColumnFormula>tbl_PurchaseOrder[[#This Row],[PO Number]]&amp;"-"&amp;tbl_PurchaseOrder[[#This Row],[PO Line]]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bl_GoodsReceipt" displayName="tbl_GoodsReceipt" ref="A3:AC17" totalsRowShown="0">
  <autoFilter ref="A3:AC17" xr:uid="{00000000-0009-0000-0100-000003000000}"/>
  <sortState xmlns:xlrd2="http://schemas.microsoft.com/office/spreadsheetml/2017/richdata2" ref="A4:AC17">
    <sortCondition ref="C3:C17"/>
  </sortState>
  <tableColumns count="29">
    <tableColumn id="1" xr3:uid="{00000000-0010-0000-0400-000001000000}" name="GR Number"/>
    <tableColumn id="2" xr3:uid="{00000000-0010-0000-0400-000002000000}" name="GR Line"/>
    <tableColumn id="3" xr3:uid="{00000000-0010-0000-0400-000003000000}" name="GR Date"/>
    <tableColumn id="4" xr3:uid="{00000000-0010-0000-0400-000004000000}" name="PO Number"/>
    <tableColumn id="5" xr3:uid="{00000000-0010-0000-0400-000005000000}" name="PO Line" dataDxfId="119"/>
    <tableColumn id="29" xr3:uid="{32467FAF-3D7D-4CA5-9707-3FB4E795D1FA}" name="PO Line Key (Helper)" dataDxfId="118">
      <calculatedColumnFormula>tbl_GoodsReceipt[[#This Row],[PO Number]]&amp;"-"&amp;tbl_GoodsReceipt[[#This Row],[PO Line]]</calculatedColumnFormula>
    </tableColumn>
    <tableColumn id="6" xr3:uid="{E8DA1EE4-E020-4801-93F4-A35A7E1B2656}" name="Supplier Code" dataDxfId="117">
      <calculatedColumnFormula>_xlfn.XLOOKUP(tbl_GoodsReceipt[[#This Row],[PO Line Key (Helper)]],tbl_PurchaseOrder[PO Line Key (Helper)],tbl_PurchaseOrder[Supplier Code])</calculatedColumnFormula>
    </tableColumn>
    <tableColumn id="7" xr3:uid="{00000000-0010-0000-0400-000007000000}" name="Supplier Name" dataDxfId="116">
      <calculatedColumnFormula>_xlfn.XLOOKUP(tbl_GoodsReceipt[[#This Row],[Supplier Code]],tbl_MasterSupplier[Supplier Code],tbl_MasterSupplier[Supplier Name])</calculatedColumnFormula>
    </tableColumn>
    <tableColumn id="8" xr3:uid="{00000000-0010-0000-0400-000008000000}" name="Material Code" dataDxfId="115">
      <calculatedColumnFormula>_xlfn.XLOOKUP(tbl_GoodsReceipt[[#This Row],[PO Line Key (Helper)]],tbl_PurchaseOrder[PO Line Key (Helper)],tbl_PurchaseOrder[Material Code])</calculatedColumnFormula>
    </tableColumn>
    <tableColumn id="9" xr3:uid="{00000000-0010-0000-0400-000009000000}" name="Material Description" dataDxfId="114">
      <calculatedColumnFormula>_xlfn.XLOOKUP(tbl_GoodsReceipt[[#This Row],[Material Code]],tbl_MasterMaterial[Material Code],tbl_MasterMaterial[Material Description])</calculatedColumnFormula>
    </tableColumn>
    <tableColumn id="10" xr3:uid="{00000000-0010-0000-0400-00000A000000}" name="Order Qty" dataDxfId="113">
      <calculatedColumnFormula>_xlfn.XLOOKUP(tbl_GoodsReceipt[[#This Row],[PO Line Key (Helper)]],tbl_PurchaseOrder[PO Line Key (Helper)],tbl_PurchaseOrder[Ordered Qty])</calculatedColumnFormula>
    </tableColumn>
    <tableColumn id="12" xr3:uid="{00000000-0010-0000-0400-00000C000000}" name="Purchase UoM" dataDxfId="112">
      <calculatedColumnFormula>_xlfn.XLOOKUP(tbl_GoodsReceipt[[#This Row],[PO Line Key (Helper)]],tbl_PurchaseOrder[PO Line Key (Helper)],tbl_PurchaseOrder[Purchase UoM])</calculatedColumnFormula>
    </tableColumn>
    <tableColumn id="11" xr3:uid="{00000000-0010-0000-0400-00000B000000}" name="Unit Price" dataDxfId="111">
      <calculatedColumnFormula>_xlfn.XLOOKUP(tbl_GoodsReceipt[[#This Row],[PO Line Key (Helper)]],tbl_PurchaseOrder[PO Line Key (Helper)],tbl_PurchaseOrder[Unit Price])</calculatedColumnFormula>
    </tableColumn>
    <tableColumn id="20" xr3:uid="{00000000-0010-0000-0400-000014000000}" name="Expected Delivery Date" dataDxfId="110">
      <calculatedColumnFormula>_xlfn.XLOOKUP(tbl_GoodsReceipt[[#This Row],[PO Line Key (Helper)]],tbl_PurchaseOrder[PO Line Key (Helper)],tbl_PurchaseOrder[Expected Delivery Date])</calculatedColumnFormula>
    </tableColumn>
    <tableColumn id="21" xr3:uid="{76F9E9A1-1F34-4FAD-9BFD-02A48B886435}" name="Delivery Note No." dataDxfId="109"/>
    <tableColumn id="19" xr3:uid="{00000000-0010-0000-0400-000013000000}" name="Receiving Dock" dataDxfId="108"/>
    <tableColumn id="27" xr3:uid="{C970C051-0950-4A04-BC06-F42CE88CB783}" name="Received By" dataDxfId="107"/>
    <tableColumn id="13" xr3:uid="{00000000-0010-0000-0400-00000D000000}" name="Received Qty"/>
    <tableColumn id="14" xr3:uid="{00000000-0010-0000-0400-00000E000000}" name="Accepted Qty"/>
    <tableColumn id="15" xr3:uid="{00000000-0010-0000-0400-00000F000000}" name="Rejected Qty" dataDxfId="106">
      <calculatedColumnFormula>tbl_GoodsReceipt[[#This Row],[Received Qty]]-tbl_GoodsReceipt[[#This Row],[Accepted Qty]]</calculatedColumnFormula>
    </tableColumn>
    <tableColumn id="16" xr3:uid="{00000000-0010-0000-0400-000010000000}" name="Inspection Result"/>
    <tableColumn id="17" xr3:uid="{00000000-0010-0000-0400-000011000000}" name="Rejection Reason"/>
    <tableColumn id="18" xr3:uid="{00000000-0010-0000-0400-000012000000}" name="Batch/Lot Number"/>
    <tableColumn id="22" xr3:uid="{00000000-0010-0000-0400-000016000000}" name="Received Variance" dataDxfId="105">
      <calculatedColumnFormula>tbl_GoodsReceipt[[#This Row],[Received Qty]]-tbl_GoodsReceipt[[#This Row],[Order Qty]]</calculatedColumnFormula>
    </tableColumn>
    <tableColumn id="23" xr3:uid="{00000000-0010-0000-0400-000017000000}" name="Received Variance %">
      <calculatedColumnFormula>IFERROR(tbl_GoodsReceipt[[#This Row],[Received Variance]]/tbl_GoodsReceipt[[#This Row],[Order Qty]],0)</calculatedColumnFormula>
    </tableColumn>
    <tableColumn id="28" xr3:uid="{9903FC18-7740-482D-9ABE-94B8CD52CA29}" name="Delivery Status" dataDxfId="104">
      <calculatedColumnFormula>IF(tbl_GoodsReceipt[[#This Row],[GR Date]]&lt;=tbl_GoodsReceipt[[#This Row],[Expected Delivery Date]],"On-time","Late")</calculatedColumnFormula>
    </tableColumn>
    <tableColumn id="24" xr3:uid="{00000000-0010-0000-0400-000018000000}" name="Put-Away Status"/>
    <tableColumn id="25" xr3:uid="{00000000-0010-0000-0400-000019000000}" name="Remarks"/>
    <tableColumn id="26" xr3:uid="{00000000-0010-0000-0400-00001A000000}" name="GR Line Key (Helper)">
      <calculatedColumnFormula>tbl_GoodsReceipt[[#This Row],[GR Number]]&amp;"-"&amp;tbl_GoodsReceipt[[#This Row],[GR Line]]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B3DB970-7D09-43A7-A358-6B1F939A14BC}" name="tbl_PutAway2" displayName="tbl_PutAway2" ref="A3:W17" totalsRowShown="0">
  <autoFilter ref="A3:W17" xr:uid="{6B3DB970-7D09-43A7-A358-6B1F939A14BC}"/>
  <tableColumns count="23">
    <tableColumn id="1" xr3:uid="{B2820B32-D7DD-46E0-8DC9-85D6D0F2F498}" name="Put Away Number"/>
    <tableColumn id="2" xr3:uid="{0F13D28A-BA08-441F-BEC4-7D6037733212}" name="Put Away Line"/>
    <tableColumn id="3" xr3:uid="{F64021F0-B759-425B-A31C-41586E8E37C9}" name="Put Away Date"/>
    <tableColumn id="9" xr3:uid="{E03F1EBB-6C5E-4F01-BF63-B997B72A75B5}" name="GR Date" dataDxfId="103">
      <calculatedColumnFormula>_xlfn.XLOOKUP(tbl_PutAway2[[#This Row],[GR Line Key (Helper)]],[1]!tbl_GoodsReceipt[GR Line Key (Helper)],[1]!tbl_GoodsReceipt[GR Date])</calculatedColumnFormula>
    </tableColumn>
    <tableColumn id="4" xr3:uid="{9CD70814-3501-46D0-ADC4-95B460051A76}" name="GR Number"/>
    <tableColumn id="5" xr3:uid="{AD89AACB-2035-4547-815B-97B54A79F58B}" name="GR Line" dataDxfId="102"/>
    <tableColumn id="6" xr3:uid="{E922F599-6AE7-4A51-8543-1683E90BDD71}" name="GR Line Key (Helper)" dataDxfId="101">
      <calculatedColumnFormula>tbl_PutAway2[[#This Row],[GR Number]]&amp;"-"&amp;tbl_PutAway2[[#This Row],[GR Line]]</calculatedColumnFormula>
    </tableColumn>
    <tableColumn id="7" xr3:uid="{0CF55A9E-39F1-4F68-9223-C7DD92AD7F96}" name="Material Code">
      <calculatedColumnFormula>_xlfn.XLOOKUP(tbl_PutAway2[[#This Row],[GR Line Key (Helper)]],[1]!tbl_GoodsReceipt[GR Line Key (Helper)],[1]!tbl_GoodsReceipt[Material Code])</calculatedColumnFormula>
    </tableColumn>
    <tableColumn id="8" xr3:uid="{4950093A-EBB0-45E7-9BC7-DF3E9210FC3D}" name="Material Description" dataDxfId="100">
      <calculatedColumnFormula>_xlfn.XLOOKUP(tbl_PutAway2[[#This Row],[Material Code]],[1]!tbl_GoodsReceipt[Material Code],[1]!tbl_GoodsReceipt[Material Description])</calculatedColumnFormula>
    </tableColumn>
    <tableColumn id="23" xr3:uid="{59D088FB-A71A-4C0D-8683-EAAED5821813}" name="Batch/Lot Number" dataDxfId="99">
      <calculatedColumnFormula>_xlfn.XLOOKUP(tbl_PutAway2[[#This Row],[GR Line Key (Helper)]],[1]!tbl_GoodsReceipt[GR Line Key (Helper)],[1]!tbl_GoodsReceipt[Batch/Lot Number])</calculatedColumnFormula>
    </tableColumn>
    <tableColumn id="12" xr3:uid="{7146D458-8B1D-4A49-9C94-4D7E7D5331F0}" name="Accepted Qty">
      <calculatedColumnFormula>_xlfn.XLOOKUP(tbl_PutAway2[[#This Row],[GR Line Key (Helper)]],[1]!tbl_GoodsReceipt[GR Line Key (Helper)],[1]!tbl_GoodsReceipt[Accepted Qty])</calculatedColumnFormula>
    </tableColumn>
    <tableColumn id="17" xr3:uid="{50508DE8-DD5C-441D-B90B-E0180BBE214C}" name="Purchase UoM" dataDxfId="98">
      <calculatedColumnFormula>_xlfn.XLOOKUP(tbl_PutAway2[[#This Row],[GR Line Key (Helper)]],[1]!tbl_GoodsReceipt[GR Line Key (Helper)],[1]!tbl_GoodsReceipt[Purchase UoM])</calculatedColumnFormula>
    </tableColumn>
    <tableColumn id="16" xr3:uid="{8C2E0FD8-30A9-4858-A91C-82CE5FDFB7BE}" name="Put Away Qty" dataDxfId="97"/>
    <tableColumn id="13" xr3:uid="{EAED5A2E-494D-473B-BCB6-38C1D65067E2}" name="Base UoM" dataDxfId="96">
      <calculatedColumnFormula>_xlfn.XLOOKUP(tbl_PutAway2[[#This Row],[Material Code]],[1]!tbl_MasterMaterial[Material Code],[1]!tbl_MasterMaterial[Base UoM])</calculatedColumnFormula>
    </tableColumn>
    <tableColumn id="15" xr3:uid="{73D252CF-0430-42B8-B496-F40210DCD95F}" name="From Location" dataDxfId="95">
      <calculatedColumnFormula>_xlfn.XLOOKUP(tbl_PutAway2[[#This Row],[GR Line Key (Helper)]],[1]!tbl_GoodsReceipt[GR Line Key (Helper)],[1]!tbl_GoodsReceipt[Receiving Dock])</calculatedColumnFormula>
    </tableColumn>
    <tableColumn id="10" xr3:uid="{8AEDE3C9-538E-49FC-8D4C-919E5B784887}" name="Suggested Storage Location (Ref)" dataDxfId="94">
      <calculatedColumnFormula>_xlfn.XLOOKUP(tbl_PutAway2[[#This Row],[Material Code]],[1]!tbl_MasterMaterial[Material Code],[1]!tbl_MasterMaterial[Default Storage Location])</calculatedColumnFormula>
    </tableColumn>
    <tableColumn id="14" xr3:uid="{AFA3AA67-87FC-4898-B051-166FA534C265}" name="Storage/Handling Class" dataDxfId="93">
      <calculatedColumnFormula>_xlfn.XLOOKUP(tbl_PutAway2[[#This Row],[Material Code]],[1]!tbl_MasterMaterial[Material Code],[1]!tbl_MasterMaterial[Storage/Handling Class])</calculatedColumnFormula>
    </tableColumn>
    <tableColumn id="24" xr3:uid="{A7430B9B-8A0B-4B52-BC84-AA7AF710FD0B}" name="To Location" dataDxfId="92"/>
    <tableColumn id="19" xr3:uid="{AA2AFBDA-DFE9-4C45-B3A7-491FCE86E01B}" name="Location Storage/Handling Requirement" dataDxfId="91">
      <calculatedColumnFormula>_xlfn.XLOOKUP(tbl_PutAway2[[#This Row],[To Location]],[1]!tbl_MasterLocation[Location Code],[1]!tbl_MasterLocation[Storage/Handling Requirement])</calculatedColumnFormula>
    </tableColumn>
    <tableColumn id="20" xr3:uid="{4843B501-914D-43BE-A090-204AD9839622}" name="Location Match Check" dataDxfId="90">
      <calculatedColumnFormula>IF(tbl_PutAway2[[#This Row],[Location Storage/Handling Requirement]]=tbl_PutAway2[[#This Row],[Storage/Handling Class]],"Match","Mismatch - Review")</calculatedColumnFormula>
    </tableColumn>
    <tableColumn id="18" xr3:uid="{5359C52F-3F31-4E3F-8C3E-0329EC18658B}" name="Put Away Status" dataDxfId="89">
      <calculatedColumnFormula>IF(tbl_PutAway2[[#This Row],[Put Away Qty]]=0,"Pending", IF(tbl_PutAway2[[#This Row],[Put Away Qty]]&lt;tbl_PutAway2[[#This Row],[Accepted Qty]],"Partial","Completed"))</calculatedColumnFormula>
    </tableColumn>
    <tableColumn id="21" xr3:uid="{5B61C99F-3F68-4280-9CB7-4C8E8D62C9A3}" name="Remarks"/>
    <tableColumn id="22" xr3:uid="{A77B1BD7-E90D-465A-8F3C-97010DD6AC5D}" name="Put-Away Line Key (Helper)">
      <calculatedColumnFormula>tbl_PutAway2[[#This Row],[Put Away Number]]&amp;"-"&amp;tbl_PutAway2[[#This Row],[Put Away Line]]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29DF7E-C144-4719-998B-52088A29B668}" name="tbl_MaterialRequest" displayName="tbl_MaterialRequest" ref="A3:R18" totalsRowShown="0">
  <autoFilter ref="A3:R18" xr:uid="{7729DF7E-C144-4719-998B-52088A29B668}"/>
  <tableColumns count="18">
    <tableColumn id="20" xr3:uid="{3C0390E3-68A0-4909-B67E-E5F8021AE8E9}" name="Request Number" dataDxfId="88"/>
    <tableColumn id="2" xr3:uid="{8A70104B-655A-4746-9E1F-F9D831EC827B}" name="Request Line" dataDxfId="87"/>
    <tableColumn id="3" xr3:uid="{7A1A07AB-F1A4-430C-81EA-CCED420351ED}" name="Request Date"/>
    <tableColumn id="10" xr3:uid="{8CF7B51D-F45D-465F-BA3A-9BD7A73286FE}" name="Required Date" dataDxfId="86"/>
    <tableColumn id="4" xr3:uid="{106B013D-6E3E-4877-AA7B-7A7178DEBDF7}" name="Requesting Department"/>
    <tableColumn id="11" xr3:uid="{F1E8D945-6C57-48DC-ABC4-A51DD1B9F107}" name="Requester" dataDxfId="85"/>
    <tableColumn id="5" xr3:uid="{8F80EC92-5E02-40E0-8FBC-ECE6EEA27E27}" name="Material Code"/>
    <tableColumn id="6" xr3:uid="{A432A144-E238-4378-885F-6A2B166171B6}" name="Material Description">
      <calculatedColumnFormula>_xlfn.XLOOKUP(tbl_MaterialRequest[[#This Row],[Material Code]],[1]!tbl_MasterMaterial[Material Code],[1]!tbl_MasterMaterial[Material Description])</calculatedColumnFormula>
    </tableColumn>
    <tableColumn id="7" xr3:uid="{7C242AD8-8411-4074-8E37-FE98BBDD159A}" name="Base UoM">
      <calculatedColumnFormula>_xlfn.XLOOKUP(tbl_MaterialRequest[[#This Row],[Material Code]],[1]!tbl_MasterMaterial[Material Code],[1]!tbl_MasterMaterial[Base UoM])</calculatedColumnFormula>
    </tableColumn>
    <tableColumn id="8" xr3:uid="{670A38B4-8F71-49A1-BDF8-E9F5A443B6AD}" name="Quantity Requested"/>
    <tableColumn id="9" xr3:uid="{6CBB2C3C-4968-4DFC-B36B-E8F03DAE700A}" name="Request Priority"/>
    <tableColumn id="13" xr3:uid="{B8F6A0CE-1188-44C5-B4A1-4C8553A8221E}" name="Available Stock (Ref)" dataDxfId="84"/>
    <tableColumn id="14" xr3:uid="{B6975D28-9349-45DC-8455-FA1FBF6F3D6A}" name="Stock Sufficiency Check" dataDxfId="83">
      <calculatedColumnFormula>IF(L4&gt;=J4,"Sufficient","Insufficient - Review")</calculatedColumnFormula>
    </tableColumn>
    <tableColumn id="18" xr3:uid="{3EF748E6-D130-4232-8709-91DFD88B6DCC}" name="Approval Status" dataDxfId="82"/>
    <tableColumn id="12" xr3:uid="{CA251D90-C7FB-4D0C-AE6E-F5D1C7F4B373}" name="Total Issued (Ref)" dataDxfId="81"/>
    <tableColumn id="15" xr3:uid="{A3F09887-B081-42F6-9576-4ACFBC6E3BF5}" name="Request Status" dataDxfId="80"/>
    <tableColumn id="16" xr3:uid="{16004DC1-4424-48C2-9110-5E4DB91701DB}" name="Remarks" dataDxfId="79"/>
    <tableColumn id="17" xr3:uid="{65C60F4B-8165-4E50-97C2-9A71F557F348}" name="Request Line Key (Helper)">
      <calculatedColumnFormula>tbl_MaterialRequest[[#This Row],[Request Number]]&amp;"-"&amp;tbl_MaterialRequest[[#This Row],[Request Line]]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5A51F98-DAEB-4D43-BD4D-591A695CDF69}" name="tbl_PickingList11" displayName="tbl_PickingList11" ref="A3:S15" totalsRowShown="0">
  <autoFilter ref="A3:S15" xr:uid="{65A51F98-DAEB-4D43-BD4D-591A695CDF69}"/>
  <tableColumns count="19">
    <tableColumn id="1" xr3:uid="{632F096F-0163-45F3-B4F2-65A87147D80A}" name="Pick Number"/>
    <tableColumn id="2" xr3:uid="{2C07203A-D801-48CC-807F-C27B85CCB303}" name="Pick Line"/>
    <tableColumn id="3" xr3:uid="{40E4E0BB-54BC-45B6-9EFB-267069E0F946}" name="Pick Date"/>
    <tableColumn id="4" xr3:uid="{B21BCC45-6F55-4BA2-B10A-F85D1150EB9C}" name="Request Number"/>
    <tableColumn id="5" xr3:uid="{C6F5BB68-561B-4485-A2CD-AD53C44ADAEE}" name="Request Line"/>
    <tableColumn id="6" xr3:uid="{8C3B4260-BBF6-4AEF-846E-0EEDE6345047}" name="Request Line Key (Helper)">
      <calculatedColumnFormula>tbl_PickingList11[[#This Row],[Request Number]]&amp;"-"&amp;tbl_PickingList11[[#This Row],[Request Line]]</calculatedColumnFormula>
    </tableColumn>
    <tableColumn id="7" xr3:uid="{83FF2341-6753-401A-BD35-82FBC54F8919}" name="Material Code" dataDxfId="78">
      <calculatedColumnFormula>_xlfn.XLOOKUP(tbl_PickingList11[[#This Row],[Request Line Key (Helper)]],[1]!tbl_MaterialRequest[Request Line Key (Helper)],[1]!tbl_MaterialRequest[Material Code])</calculatedColumnFormula>
    </tableColumn>
    <tableColumn id="8" xr3:uid="{95F92AD2-7BD7-48DA-A284-BD9DDAFA22A0}" name="Material Description" dataDxfId="77">
      <calculatedColumnFormula>_xlfn.XLOOKUP(tbl_PickingList11[[#This Row],[Request Line Key (Helper)]],[1]!tbl_MaterialRequest[Request Line Key (Helper)],[1]!tbl_MaterialRequest[Material Description])</calculatedColumnFormula>
    </tableColumn>
    <tableColumn id="21" xr3:uid="{48BBAD60-5074-455D-A78B-41945458B773}" name="Base UoM" dataDxfId="76">
      <calculatedColumnFormula>_xlfn.XLOOKUP(tbl_PickingList11[[#This Row],[Request Line Key (Helper)]],[1]!tbl_MaterialRequest[Request Line Key (Helper)],[1]!tbl_MaterialRequest[Base UoM])</calculatedColumnFormula>
    </tableColumn>
    <tableColumn id="9" xr3:uid="{9B47A178-786C-4D2B-A4E3-26FFCB44BFE5}" name="Requesting Department (Ref)" dataDxfId="75">
      <calculatedColumnFormula>_xlfn.XLOOKUP(tbl_PickingList11[[#This Row],[Request Line Key (Helper)]],[1]!tbl_MaterialRequest[Request Line Key (Helper)],[1]!tbl_MaterialRequest[Requesting Department])</calculatedColumnFormula>
    </tableColumn>
    <tableColumn id="10" xr3:uid="{642C0F18-9253-4A46-ACEB-8FE96D94AE20}" name="Request Priority (Ref)" dataDxfId="74">
      <calculatedColumnFormula>_xlfn.XLOOKUP(tbl_PickingList11[[#This Row],[Request Line Key (Helper)]],[1]!tbl_MaterialRequest[Request Line Key (Helper)],[1]!tbl_MaterialRequest[Request Priority])</calculatedColumnFormula>
    </tableColumn>
    <tableColumn id="11" xr3:uid="{99E8E712-2A10-4694-AC2D-BD8432BA94FF}" name="Quantity Requested (Ref)" dataDxfId="73">
      <calculatedColumnFormula>_xlfn.XLOOKUP(tbl_PickingList11[[#This Row],[Request Line Key (Helper)]],[1]!tbl_MaterialRequest[Request Line Key (Helper)],[1]!tbl_MaterialRequest[Quantity Requested])</calculatedColumnFormula>
    </tableColumn>
    <tableColumn id="12" xr3:uid="{24F438EE-14EA-42DC-BE5F-E654E9C1A89F}" name="Pick Location (Ref)" dataDxfId="72">
      <calculatedColumnFormula>_xlfn.XLOOKUP(tbl_PickingList11[[#This Row],[Material Code]],[1]!tbl_PutAway[Material Code],[1]!tbl_PutAway[To Location])</calculatedColumnFormula>
    </tableColumn>
    <tableColumn id="14" xr3:uid="{CCFD5510-86EE-4EDE-A614-E8FDD6BF4E60}" name="Available Stock" dataDxfId="71"/>
    <tableColumn id="16" xr3:uid="{06C34751-72A9-4F60-97A9-C168A378B797}" name="Quantity Picked" dataDxfId="70"/>
    <tableColumn id="17" xr3:uid="{7C7B497B-9F75-4CED-972B-4AF509AF2098}" name="Pick Status" dataDxfId="69">
      <calculatedColumnFormula>IF(tbl_PickingList11[[#This Row],[Quantity Requested (Ref)]]=0,"Not Picked",IF(tbl_PickingList11[[#This Row],[Quantity Picked]]&lt;tbl_PickingList11[[#This Row],[Quantity Requested (Ref)]],"Partially Picked","Fully Picked"))</calculatedColumnFormula>
    </tableColumn>
    <tableColumn id="25" xr3:uid="{0E9ACBD8-03BA-4C05-B55B-39E3F066B4B5}" name="Picker" dataDxfId="68"/>
    <tableColumn id="19" xr3:uid="{FC95FDE1-1294-4F68-8595-7AADEDAB4AFF}" name="Remarks"/>
    <tableColumn id="20" xr3:uid="{97D2004D-40DB-4252-B0F6-DC6234F5B8FB}" name="Pick Line Key (Helper)">
      <calculatedColumnFormula>tbl_PickingList11[[#This Row],[Pick Number]]&amp;"-"&amp;tbl_PickingList11[[#This Row],[Pick Line]]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5FBEA94-EC69-47A8-A8B4-103E138DBD45}" name="tbl_GoodsIssue" displayName="tbl_GoodsIssue" ref="A3:U15" totalsRowShown="0">
  <autoFilter ref="A3:U15" xr:uid="{25FBEA94-EC69-47A8-A8B4-103E138DBD45}"/>
  <tableColumns count="21">
    <tableColumn id="1" xr3:uid="{6B1B12C1-F256-427A-9E2F-323ECF75748C}" name="GI Number"/>
    <tableColumn id="2" xr3:uid="{2DF9802A-C24B-435F-AD47-4698F37FE200}" name="GI Line"/>
    <tableColumn id="3" xr3:uid="{A3C22BB4-F821-4457-AA07-C417AC098CD2}" name="GI Date"/>
    <tableColumn id="4" xr3:uid="{1A884DF3-8DD6-4CE9-93ED-FA1CB04768F6}" name="Pick Number"/>
    <tableColumn id="5" xr3:uid="{1AE482A6-8412-46CE-990F-E37FE1550930}" name="Pick Line"/>
    <tableColumn id="19" xr3:uid="{AC18BD1A-085F-4822-864F-A36AEAF3187C}" name="Request Number" dataDxfId="67">
      <calculatedColumnFormula>_xlfn.XLOOKUP(tbl_GoodsIssue[[#This Row],[Pick Line Key (Helper)]],[1]!tbl_PickingList[Pick Line Key (Helper)],[1]!tbl_PickingList[Request Number])</calculatedColumnFormula>
    </tableColumn>
    <tableColumn id="20" xr3:uid="{1E49D15C-220B-47AC-9CA9-6C519D209D42}" name="Request Line" dataDxfId="66">
      <calculatedColumnFormula>_xlfn.XLOOKUP(tbl_GoodsIssue[[#This Row],[Pick Line Key (Helper)]],[1]!tbl_PickingList[Pick Line Key (Helper)],[1]!tbl_PickingList[Request Line])</calculatedColumnFormula>
    </tableColumn>
    <tableColumn id="6" xr3:uid="{41CB3683-6C31-4CDA-8F57-6517C3E41E0A}" name="Pick Line Key (Helper)" dataDxfId="65">
      <calculatedColumnFormula>D4&amp;"-"&amp;E4</calculatedColumnFormula>
    </tableColumn>
    <tableColumn id="7" xr3:uid="{106ED3C1-CAAF-4A07-91B8-C6EF79F2D2FB}" name="Material Code">
      <calculatedColumnFormula>_xlfn.XLOOKUP(tbl_GoodsIssue[[#This Row],[Pick Line Key (Helper)]],[1]!tbl_PickingList[Pick Line Key (Helper)],[1]!tbl_PickingList[Material Code])</calculatedColumnFormula>
    </tableColumn>
    <tableColumn id="8" xr3:uid="{6194A028-A5FC-4B2F-916D-0487C09EEAB0}" name="Material Description">
      <calculatedColumnFormula>_xlfn.XLOOKUP(tbl_GoodsIssue[[#This Row],[Material Code]],[1]!tbl_MasterMaterial[Material Code],[1]!tbl_MasterMaterial[Material Description])</calculatedColumnFormula>
    </tableColumn>
    <tableColumn id="9" xr3:uid="{F6C00B0D-7BF1-4516-947E-950BBBC4AC44}" name="Base UoM" dataDxfId="64">
      <calculatedColumnFormula>_xlfn.XLOOKUP(tbl_GoodsIssue[[#This Row],[Material Code]],[1]!tbl_MasterMaterial[Material Code],[1]!tbl_MasterMaterial[Base UoM])</calculatedColumnFormula>
    </tableColumn>
    <tableColumn id="10" xr3:uid="{FDE08550-5A0D-4B45-B0EB-39A3F7F5327B}" name="Issuing Location (Ref)" dataDxfId="63">
      <calculatedColumnFormula>_xlfn.XLOOKUP(tbl_GoodsIssue[[#This Row],[Pick Line Key (Helper)]],[1]!tbl_PickingList[Pick Line Key (Helper)],[1]!tbl_PickingList[Pick Location (Ref)])</calculatedColumnFormula>
    </tableColumn>
    <tableColumn id="11" xr3:uid="{EFC2147A-68C4-40E7-AC1F-291B5BF6E01C}" name="Requesting Department (Ref)" dataDxfId="62">
      <calculatedColumnFormula>_xlfn.XLOOKUP(tbl_GoodsIssue[[#This Row],[Pick Line Key (Helper)]],[1]!tbl_PickingList[Pick Line Key (Helper)],[1]!tbl_PickingList[Requesting Department (Ref)])</calculatedColumnFormula>
    </tableColumn>
    <tableColumn id="12" xr3:uid="{241BCCED-8CE2-45C0-B5A0-EB281804E5C9}" name="Quantity Picked (Ref)" dataDxfId="61">
      <calculatedColumnFormula>_xlfn.XLOOKUP(tbl_GoodsIssue[[#This Row],[Pick Line Key (Helper)]],[1]!tbl_PickingList[Pick Line Key (Helper)],[1]!tbl_PickingList[Quantity Picked])</calculatedColumnFormula>
    </tableColumn>
    <tableColumn id="13" xr3:uid="{7E65839F-364E-4284-AF93-048039A11EF2}" name="Quantity Issued"/>
    <tableColumn id="14" xr3:uid="{378E0A83-0410-4F9D-B513-F95B77F93BB3}" name="Issue Variance" dataDxfId="60">
      <calculatedColumnFormula>tbl_GoodsIssue[[#This Row],[Quantity Issued]]-tbl_GoodsIssue[[#This Row],[Quantity Picked (Ref)]]</calculatedColumnFormula>
    </tableColumn>
    <tableColumn id="15" xr3:uid="{AB614138-7B13-4C46-943F-774255F936E4}" name="Issue Status" dataDxfId="59">
      <calculatedColumnFormula>IF(tbl_GoodsIssue[[#This Row],[Quantity Issued]]&lt;tbl_GoodsIssue[[#This Row],[Quantity Picked (Ref)]],"Partial","Completed")</calculatedColumnFormula>
    </tableColumn>
    <tableColumn id="21" xr3:uid="{82454FE2-C266-4763-B459-4018C5D9D8B8}" name="Issued By" dataDxfId="58"/>
    <tableColumn id="22" xr3:uid="{4C97B95A-D48D-4A89-8F03-4F95F8CEE7D8}" name="Received By" dataDxfId="57"/>
    <tableColumn id="16" xr3:uid="{9AB5B34E-9130-4977-9CE4-70C3B46EB23D}" name="Remarks" dataDxfId="56"/>
    <tableColumn id="17" xr3:uid="{3D68FD7A-D251-490A-9730-4A0D6FA0FFD7}" name="GI Line Key (Helper)">
      <calculatedColumnFormula>tbl_GoodsIssue[[#This Row],[GI Number]]&amp;"-"&amp;tbl_GoodsIssue[[#This Row],[GI Line]]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showGridLines="0" tabSelected="1" zoomScale="90" zoomScaleNormal="9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14" customWidth="1"/>
    <col min="2" max="2" width="34" customWidth="1"/>
    <col min="3" max="3" width="26" bestFit="1" customWidth="1"/>
    <col min="4" max="4" width="10" customWidth="1"/>
    <col min="5" max="5" width="15.42578125" customWidth="1"/>
    <col min="6" max="7" width="16" customWidth="1"/>
    <col min="8" max="8" width="13.7109375" customWidth="1"/>
    <col min="9" max="9" width="17.5703125" customWidth="1"/>
    <col min="10" max="13" width="12" customWidth="1"/>
    <col min="14" max="14" width="30.140625" customWidth="1"/>
  </cols>
  <sheetData>
    <row r="1" spans="1:14" ht="24" customHeight="1" x14ac:dyDescent="0.25">
      <c r="A1" s="80" t="s">
        <v>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</row>
    <row r="3" spans="1:14" ht="31.5" customHeight="1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6</v>
      </c>
      <c r="F3" s="1" t="s">
        <v>145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115</v>
      </c>
    </row>
    <row r="4" spans="1:14" x14ac:dyDescent="0.25">
      <c r="A4" s="2" t="s">
        <v>14</v>
      </c>
      <c r="B4" s="2" t="s">
        <v>15</v>
      </c>
      <c r="C4" s="2" t="s">
        <v>16</v>
      </c>
      <c r="D4" s="2" t="s">
        <v>17</v>
      </c>
      <c r="E4" s="2" t="s">
        <v>172</v>
      </c>
      <c r="F4" s="2" t="s">
        <v>152</v>
      </c>
      <c r="G4" s="26">
        <v>750000</v>
      </c>
      <c r="H4" s="2" t="s">
        <v>18</v>
      </c>
      <c r="I4" s="2" t="s">
        <v>19</v>
      </c>
      <c r="J4" s="3">
        <v>20</v>
      </c>
      <c r="K4" s="3">
        <v>100</v>
      </c>
      <c r="L4" s="3">
        <v>14</v>
      </c>
      <c r="M4" s="2" t="s">
        <v>20</v>
      </c>
      <c r="N4" s="3"/>
    </row>
    <row r="5" spans="1:14" x14ac:dyDescent="0.25">
      <c r="A5" s="2" t="s">
        <v>21</v>
      </c>
      <c r="B5" s="2" t="s">
        <v>22</v>
      </c>
      <c r="C5" s="2" t="s">
        <v>147</v>
      </c>
      <c r="D5" s="2" t="s">
        <v>17</v>
      </c>
      <c r="E5" s="2" t="s">
        <v>30</v>
      </c>
      <c r="F5" s="2" t="s">
        <v>269</v>
      </c>
      <c r="G5" s="26">
        <v>4200000</v>
      </c>
      <c r="H5" s="2" t="s">
        <v>19</v>
      </c>
      <c r="I5" s="2" t="s">
        <v>24</v>
      </c>
      <c r="J5" s="3">
        <v>10</v>
      </c>
      <c r="K5" s="3">
        <v>50</v>
      </c>
      <c r="L5" s="3">
        <v>21</v>
      </c>
      <c r="M5" s="2" t="s">
        <v>20</v>
      </c>
      <c r="N5" s="3"/>
    </row>
    <row r="6" spans="1:14" x14ac:dyDescent="0.25">
      <c r="A6" s="2" t="s">
        <v>25</v>
      </c>
      <c r="B6" s="2" t="s">
        <v>26</v>
      </c>
      <c r="C6" s="2" t="s">
        <v>148</v>
      </c>
      <c r="D6" s="2" t="s">
        <v>17</v>
      </c>
      <c r="E6" s="2" t="s">
        <v>23</v>
      </c>
      <c r="F6" s="2" t="s">
        <v>153</v>
      </c>
      <c r="G6" s="26">
        <v>250000</v>
      </c>
      <c r="H6" s="2" t="s">
        <v>18</v>
      </c>
      <c r="I6" s="2" t="s">
        <v>19</v>
      </c>
      <c r="J6" s="3">
        <v>50</v>
      </c>
      <c r="K6" s="3">
        <v>300</v>
      </c>
      <c r="L6" s="3">
        <v>7</v>
      </c>
      <c r="M6" s="2" t="s">
        <v>20</v>
      </c>
      <c r="N6" s="3"/>
    </row>
    <row r="7" spans="1:14" x14ac:dyDescent="0.25">
      <c r="A7" s="2" t="s">
        <v>27</v>
      </c>
      <c r="B7" s="2" t="s">
        <v>28</v>
      </c>
      <c r="C7" s="2" t="s">
        <v>29</v>
      </c>
      <c r="D7" s="2" t="s">
        <v>17</v>
      </c>
      <c r="E7" s="2" t="s">
        <v>30</v>
      </c>
      <c r="F7" s="2" t="s">
        <v>154</v>
      </c>
      <c r="G7" s="26">
        <v>8000</v>
      </c>
      <c r="H7" s="2" t="s">
        <v>19</v>
      </c>
      <c r="I7" s="2" t="s">
        <v>19</v>
      </c>
      <c r="J7" s="3">
        <v>500</v>
      </c>
      <c r="K7" s="3">
        <v>5000</v>
      </c>
      <c r="L7" s="3">
        <v>10</v>
      </c>
      <c r="M7" s="2" t="s">
        <v>20</v>
      </c>
      <c r="N7" s="3"/>
    </row>
    <row r="8" spans="1:14" x14ac:dyDescent="0.25">
      <c r="A8" s="2" t="s">
        <v>31</v>
      </c>
      <c r="B8" s="2" t="s">
        <v>32</v>
      </c>
      <c r="C8" s="2" t="s">
        <v>33</v>
      </c>
      <c r="D8" s="2" t="s">
        <v>34</v>
      </c>
      <c r="E8" s="2" t="s">
        <v>173</v>
      </c>
      <c r="F8" s="2" t="s">
        <v>155</v>
      </c>
      <c r="G8" s="26">
        <v>950000</v>
      </c>
      <c r="H8" s="2" t="s">
        <v>19</v>
      </c>
      <c r="I8" s="2" t="s">
        <v>35</v>
      </c>
      <c r="J8" s="3">
        <v>40</v>
      </c>
      <c r="K8" s="3">
        <v>200</v>
      </c>
      <c r="L8" s="3">
        <v>5</v>
      </c>
      <c r="M8" s="2" t="s">
        <v>20</v>
      </c>
      <c r="N8" s="3"/>
    </row>
    <row r="9" spans="1:14" x14ac:dyDescent="0.25">
      <c r="A9" s="2" t="s">
        <v>36</v>
      </c>
      <c r="B9" s="2" t="s">
        <v>146</v>
      </c>
      <c r="C9" s="2" t="s">
        <v>149</v>
      </c>
      <c r="D9" s="2" t="s">
        <v>17</v>
      </c>
      <c r="E9" s="2" t="s">
        <v>169</v>
      </c>
      <c r="F9" s="2" t="s">
        <v>156</v>
      </c>
      <c r="G9" s="26">
        <v>6800000</v>
      </c>
      <c r="H9" s="2" t="s">
        <v>18</v>
      </c>
      <c r="I9" s="2" t="s">
        <v>24</v>
      </c>
      <c r="J9" s="3">
        <v>4</v>
      </c>
      <c r="K9" s="3">
        <v>20</v>
      </c>
      <c r="L9" s="3">
        <v>30</v>
      </c>
      <c r="M9" s="2" t="s">
        <v>20</v>
      </c>
      <c r="N9" s="3"/>
    </row>
    <row r="10" spans="1:14" x14ac:dyDescent="0.25">
      <c r="A10" s="2" t="s">
        <v>37</v>
      </c>
      <c r="B10" s="2" t="s">
        <v>38</v>
      </c>
      <c r="C10" s="2" t="s">
        <v>148</v>
      </c>
      <c r="D10" s="2" t="s">
        <v>17</v>
      </c>
      <c r="E10" s="2" t="s">
        <v>23</v>
      </c>
      <c r="F10" s="2" t="s">
        <v>157</v>
      </c>
      <c r="G10" s="26">
        <v>420000</v>
      </c>
      <c r="H10" s="2" t="s">
        <v>19</v>
      </c>
      <c r="I10" s="2" t="s">
        <v>19</v>
      </c>
      <c r="J10" s="3">
        <v>30</v>
      </c>
      <c r="K10" s="3">
        <v>150</v>
      </c>
      <c r="L10" s="3">
        <v>10</v>
      </c>
      <c r="M10" s="2" t="s">
        <v>20</v>
      </c>
      <c r="N10" s="3"/>
    </row>
    <row r="11" spans="1:14" x14ac:dyDescent="0.25">
      <c r="A11" s="2" t="s">
        <v>39</v>
      </c>
      <c r="B11" s="2" t="s">
        <v>40</v>
      </c>
      <c r="C11" s="2" t="s">
        <v>16</v>
      </c>
      <c r="D11" s="2" t="s">
        <v>17</v>
      </c>
      <c r="E11" s="2" t="s">
        <v>172</v>
      </c>
      <c r="F11" s="2" t="s">
        <v>158</v>
      </c>
      <c r="G11" s="26">
        <v>680000</v>
      </c>
      <c r="H11" s="2" t="s">
        <v>18</v>
      </c>
      <c r="I11" s="2" t="s">
        <v>19</v>
      </c>
      <c r="J11" s="3">
        <v>15</v>
      </c>
      <c r="K11" s="3">
        <v>80</v>
      </c>
      <c r="L11" s="3">
        <v>12</v>
      </c>
      <c r="M11" s="2" t="s">
        <v>20</v>
      </c>
      <c r="N11" s="3"/>
    </row>
    <row r="12" spans="1:14" x14ac:dyDescent="0.25">
      <c r="A12" s="2" t="s">
        <v>41</v>
      </c>
      <c r="B12" s="2" t="s">
        <v>42</v>
      </c>
      <c r="C12" s="2" t="s">
        <v>150</v>
      </c>
      <c r="D12" s="2" t="s">
        <v>17</v>
      </c>
      <c r="E12" s="2" t="s">
        <v>170</v>
      </c>
      <c r="F12" s="2" t="s">
        <v>155</v>
      </c>
      <c r="G12" s="26">
        <v>95000</v>
      </c>
      <c r="H12" s="2" t="s">
        <v>19</v>
      </c>
      <c r="I12" s="2" t="s">
        <v>35</v>
      </c>
      <c r="J12" s="3">
        <v>60</v>
      </c>
      <c r="K12" s="3">
        <v>400</v>
      </c>
      <c r="L12" s="3">
        <v>5</v>
      </c>
      <c r="M12" s="2" t="s">
        <v>20</v>
      </c>
      <c r="N12" s="3"/>
    </row>
    <row r="13" spans="1:14" x14ac:dyDescent="0.25">
      <c r="A13" s="2" t="s">
        <v>43</v>
      </c>
      <c r="B13" s="2" t="s">
        <v>44</v>
      </c>
      <c r="C13" s="2" t="s">
        <v>33</v>
      </c>
      <c r="D13" s="2" t="s">
        <v>45</v>
      </c>
      <c r="E13" s="2" t="s">
        <v>174</v>
      </c>
      <c r="F13" s="2" t="s">
        <v>162</v>
      </c>
      <c r="G13" s="26">
        <v>380000</v>
      </c>
      <c r="H13" s="2" t="s">
        <v>19</v>
      </c>
      <c r="I13" s="2" t="s">
        <v>19</v>
      </c>
      <c r="J13" s="3">
        <v>100</v>
      </c>
      <c r="K13" s="3">
        <v>600</v>
      </c>
      <c r="L13" s="3">
        <v>7</v>
      </c>
      <c r="M13" s="2" t="s">
        <v>20</v>
      </c>
      <c r="N13" s="3"/>
    </row>
    <row r="14" spans="1:14" x14ac:dyDescent="0.25">
      <c r="A14" s="2" t="s">
        <v>46</v>
      </c>
      <c r="B14" s="2" t="s">
        <v>47</v>
      </c>
      <c r="C14" s="2" t="s">
        <v>149</v>
      </c>
      <c r="D14" s="2" t="s">
        <v>17</v>
      </c>
      <c r="E14" s="2" t="s">
        <v>171</v>
      </c>
      <c r="F14" s="2" t="s">
        <v>160</v>
      </c>
      <c r="G14" s="26">
        <v>28500000</v>
      </c>
      <c r="H14" s="2" t="s">
        <v>18</v>
      </c>
      <c r="I14" s="2" t="s">
        <v>24</v>
      </c>
      <c r="J14" s="3">
        <v>2</v>
      </c>
      <c r="K14" s="3">
        <v>10</v>
      </c>
      <c r="L14" s="3">
        <v>45</v>
      </c>
      <c r="M14" s="2" t="s">
        <v>20</v>
      </c>
      <c r="N14" s="3"/>
    </row>
    <row r="15" spans="1:14" x14ac:dyDescent="0.25">
      <c r="A15" s="2" t="s">
        <v>48</v>
      </c>
      <c r="B15" s="2" t="s">
        <v>49</v>
      </c>
      <c r="C15" s="2" t="s">
        <v>149</v>
      </c>
      <c r="D15" s="2" t="s">
        <v>17</v>
      </c>
      <c r="E15" s="2" t="s">
        <v>171</v>
      </c>
      <c r="F15" s="2" t="s">
        <v>161</v>
      </c>
      <c r="G15" s="26">
        <v>620000</v>
      </c>
      <c r="H15" s="2" t="s">
        <v>18</v>
      </c>
      <c r="I15" s="2" t="s">
        <v>19</v>
      </c>
      <c r="J15" s="3">
        <v>25</v>
      </c>
      <c r="K15" s="3">
        <v>120</v>
      </c>
      <c r="L15" s="3">
        <v>20</v>
      </c>
      <c r="M15" s="2" t="s">
        <v>20</v>
      </c>
      <c r="N15" s="3"/>
    </row>
    <row r="16" spans="1:14" x14ac:dyDescent="0.25">
      <c r="A16" s="2" t="s">
        <v>50</v>
      </c>
      <c r="B16" s="2" t="s">
        <v>51</v>
      </c>
      <c r="C16" s="2" t="s">
        <v>150</v>
      </c>
      <c r="D16" s="2" t="s">
        <v>34</v>
      </c>
      <c r="E16" s="2" t="s">
        <v>170</v>
      </c>
      <c r="F16" s="2" t="s">
        <v>159</v>
      </c>
      <c r="G16" s="26">
        <v>780000</v>
      </c>
      <c r="H16" s="2" t="s">
        <v>19</v>
      </c>
      <c r="I16" s="2" t="s">
        <v>35</v>
      </c>
      <c r="J16" s="3">
        <v>30</v>
      </c>
      <c r="K16" s="3">
        <v>150</v>
      </c>
      <c r="L16" s="3">
        <v>5</v>
      </c>
      <c r="M16" s="2" t="s">
        <v>20</v>
      </c>
      <c r="N16" s="3"/>
    </row>
    <row r="17" spans="1:14" x14ac:dyDescent="0.25">
      <c r="A17" s="2" t="s">
        <v>52</v>
      </c>
      <c r="B17" s="2" t="s">
        <v>53</v>
      </c>
      <c r="C17" s="2" t="s">
        <v>29</v>
      </c>
      <c r="D17" s="2" t="s">
        <v>17</v>
      </c>
      <c r="E17" s="2" t="s">
        <v>88</v>
      </c>
      <c r="F17" s="2" t="s">
        <v>162</v>
      </c>
      <c r="G17" s="26">
        <v>2000</v>
      </c>
      <c r="H17" s="2" t="s">
        <v>19</v>
      </c>
      <c r="I17" s="2" t="s">
        <v>19</v>
      </c>
      <c r="J17" s="3">
        <v>1000</v>
      </c>
      <c r="K17" s="3">
        <v>8000</v>
      </c>
      <c r="L17" s="3">
        <v>10</v>
      </c>
      <c r="M17" s="2" t="s">
        <v>20</v>
      </c>
      <c r="N17" s="3"/>
    </row>
    <row r="18" spans="1:14" x14ac:dyDescent="0.25">
      <c r="A18" s="2" t="s">
        <v>54</v>
      </c>
      <c r="B18" s="2" t="s">
        <v>55</v>
      </c>
      <c r="C18" s="2" t="s">
        <v>151</v>
      </c>
      <c r="D18" s="2" t="s">
        <v>17</v>
      </c>
      <c r="E18" s="2" t="s">
        <v>23</v>
      </c>
      <c r="F18" s="2" t="s">
        <v>163</v>
      </c>
      <c r="G18" s="26">
        <v>15500000</v>
      </c>
      <c r="H18" s="2" t="s">
        <v>18</v>
      </c>
      <c r="I18" s="2" t="s">
        <v>24</v>
      </c>
      <c r="J18" s="3">
        <v>3</v>
      </c>
      <c r="K18" s="3">
        <v>15</v>
      </c>
      <c r="L18" s="3">
        <v>35</v>
      </c>
      <c r="M18" s="2" t="s">
        <v>20</v>
      </c>
      <c r="N18" s="3"/>
    </row>
    <row r="19" spans="1:14" x14ac:dyDescent="0.25">
      <c r="A19" s="2" t="s">
        <v>56</v>
      </c>
      <c r="B19" s="2" t="s">
        <v>57</v>
      </c>
      <c r="C19" s="2" t="s">
        <v>151</v>
      </c>
      <c r="D19" s="2" t="s">
        <v>17</v>
      </c>
      <c r="E19" s="2" t="s">
        <v>23</v>
      </c>
      <c r="F19" s="2" t="s">
        <v>164</v>
      </c>
      <c r="G19" s="26">
        <v>185000</v>
      </c>
      <c r="H19" s="2" t="s">
        <v>19</v>
      </c>
      <c r="I19" s="2" t="s">
        <v>19</v>
      </c>
      <c r="J19" s="3">
        <v>40</v>
      </c>
      <c r="K19" s="3">
        <v>200</v>
      </c>
      <c r="L19" s="3">
        <v>8</v>
      </c>
      <c r="M19" s="2" t="s">
        <v>20</v>
      </c>
      <c r="N19" s="3"/>
    </row>
    <row r="20" spans="1:14" x14ac:dyDescent="0.25">
      <c r="A20" s="2" t="s">
        <v>58</v>
      </c>
      <c r="B20" s="2" t="s">
        <v>59</v>
      </c>
      <c r="C20" s="2" t="s">
        <v>147</v>
      </c>
      <c r="D20" s="2" t="s">
        <v>17</v>
      </c>
      <c r="E20" s="2" t="s">
        <v>168</v>
      </c>
      <c r="F20" s="2" t="s">
        <v>270</v>
      </c>
      <c r="G20" s="26">
        <v>5600000</v>
      </c>
      <c r="H20" s="2" t="s">
        <v>19</v>
      </c>
      <c r="I20" s="2" t="s">
        <v>24</v>
      </c>
      <c r="J20" s="3">
        <v>5</v>
      </c>
      <c r="K20" s="3">
        <v>25</v>
      </c>
      <c r="L20" s="3">
        <v>25</v>
      </c>
      <c r="M20" s="2" t="s">
        <v>20</v>
      </c>
      <c r="N20" s="3"/>
    </row>
    <row r="21" spans="1:14" x14ac:dyDescent="0.25">
      <c r="A21" s="2" t="s">
        <v>60</v>
      </c>
      <c r="B21" s="2" t="s">
        <v>61</v>
      </c>
      <c r="C21" s="2" t="s">
        <v>148</v>
      </c>
      <c r="D21" s="2" t="s">
        <v>17</v>
      </c>
      <c r="E21" s="2" t="s">
        <v>173</v>
      </c>
      <c r="F21" s="2" t="s">
        <v>165</v>
      </c>
      <c r="G21" s="26">
        <v>320000</v>
      </c>
      <c r="H21" s="2" t="s">
        <v>19</v>
      </c>
      <c r="I21" s="2" t="s">
        <v>19</v>
      </c>
      <c r="J21" s="3">
        <v>35</v>
      </c>
      <c r="K21" s="3">
        <v>180</v>
      </c>
      <c r="L21" s="3">
        <v>7</v>
      </c>
      <c r="M21" s="2" t="s">
        <v>20</v>
      </c>
      <c r="N21" s="3"/>
    </row>
    <row r="22" spans="1:14" x14ac:dyDescent="0.25">
      <c r="A22" s="2" t="s">
        <v>62</v>
      </c>
      <c r="B22" s="2" t="s">
        <v>63</v>
      </c>
      <c r="C22" s="2" t="s">
        <v>16</v>
      </c>
      <c r="D22" s="2" t="s">
        <v>17</v>
      </c>
      <c r="E22" s="2" t="s">
        <v>172</v>
      </c>
      <c r="F22" s="2" t="s">
        <v>166</v>
      </c>
      <c r="G22" s="26">
        <v>75000</v>
      </c>
      <c r="H22" s="2" t="s">
        <v>19</v>
      </c>
      <c r="I22" s="2" t="s">
        <v>19</v>
      </c>
      <c r="J22" s="3">
        <v>80</v>
      </c>
      <c r="K22" s="3">
        <v>400</v>
      </c>
      <c r="L22" s="3">
        <v>9</v>
      </c>
      <c r="M22" s="2" t="s">
        <v>20</v>
      </c>
      <c r="N22" s="3"/>
    </row>
    <row r="23" spans="1:14" x14ac:dyDescent="0.25">
      <c r="A23" s="2" t="s">
        <v>64</v>
      </c>
      <c r="B23" s="2" t="s">
        <v>65</v>
      </c>
      <c r="C23" s="2" t="s">
        <v>149</v>
      </c>
      <c r="D23" s="2" t="s">
        <v>17</v>
      </c>
      <c r="E23" s="2" t="s">
        <v>171</v>
      </c>
      <c r="F23" s="2" t="s">
        <v>167</v>
      </c>
      <c r="G23" s="26">
        <v>8900000</v>
      </c>
      <c r="H23" s="2" t="s">
        <v>18</v>
      </c>
      <c r="I23" s="2" t="s">
        <v>24</v>
      </c>
      <c r="J23" s="3">
        <v>2</v>
      </c>
      <c r="K23" s="3">
        <v>8</v>
      </c>
      <c r="L23" s="3">
        <v>40</v>
      </c>
      <c r="M23" s="2" t="s">
        <v>66</v>
      </c>
      <c r="N23" s="3"/>
    </row>
    <row r="26" spans="1:14" x14ac:dyDescent="0.25">
      <c r="A26" s="4" t="s">
        <v>67</v>
      </c>
    </row>
    <row r="27" spans="1:14" x14ac:dyDescent="0.25">
      <c r="A27" s="67"/>
      <c r="B27" s="68"/>
      <c r="C27" s="68"/>
      <c r="D27" s="68"/>
      <c r="E27" s="68"/>
      <c r="F27" s="68"/>
      <c r="G27" s="68"/>
    </row>
    <row r="28" spans="1:14" x14ac:dyDescent="0.25">
      <c r="A28" s="67"/>
      <c r="B28" s="68"/>
      <c r="C28" s="68"/>
      <c r="D28" s="68"/>
      <c r="E28" s="68"/>
      <c r="F28" s="68"/>
      <c r="G28" s="68"/>
    </row>
    <row r="29" spans="1:14" x14ac:dyDescent="0.25">
      <c r="A29" s="67"/>
      <c r="B29" s="68"/>
      <c r="C29" s="68"/>
      <c r="D29" s="68"/>
      <c r="E29" s="68"/>
      <c r="F29" s="68"/>
      <c r="G29" s="68"/>
    </row>
    <row r="30" spans="1:14" x14ac:dyDescent="0.25">
      <c r="A30" s="67"/>
      <c r="B30" s="68"/>
      <c r="C30" s="68"/>
      <c r="D30" s="68"/>
      <c r="E30" s="68"/>
      <c r="F30" s="68"/>
      <c r="G30" s="68"/>
    </row>
    <row r="31" spans="1:14" x14ac:dyDescent="0.25">
      <c r="A31" s="67"/>
      <c r="B31" s="68"/>
      <c r="C31" s="68"/>
      <c r="D31" s="68"/>
      <c r="E31" s="68"/>
      <c r="F31" s="68"/>
      <c r="G31" s="68"/>
    </row>
    <row r="32" spans="1:14" x14ac:dyDescent="0.25">
      <c r="A32" s="68"/>
      <c r="B32" s="68"/>
      <c r="C32" s="68"/>
      <c r="D32" s="68"/>
      <c r="E32" s="68"/>
      <c r="F32" s="68"/>
      <c r="G32" s="68"/>
    </row>
    <row r="33" spans="1:7" x14ac:dyDescent="0.25">
      <c r="A33" s="22"/>
      <c r="B33" s="22"/>
      <c r="C33" s="70"/>
      <c r="D33" s="68"/>
      <c r="E33" s="68"/>
      <c r="F33" s="68"/>
      <c r="G33" s="68"/>
    </row>
    <row r="34" spans="1:7" x14ac:dyDescent="0.25">
      <c r="A34" s="23"/>
      <c r="B34" s="23"/>
      <c r="C34" s="71"/>
      <c r="D34" s="68"/>
      <c r="E34" s="68"/>
      <c r="F34" s="68"/>
      <c r="G34" s="68"/>
    </row>
    <row r="35" spans="1:7" x14ac:dyDescent="0.25">
      <c r="A35" s="23"/>
      <c r="B35" s="23"/>
      <c r="C35" s="71"/>
      <c r="D35" s="68"/>
      <c r="E35" s="68"/>
      <c r="F35" s="68"/>
      <c r="G35" s="68"/>
    </row>
    <row r="36" spans="1:7" x14ac:dyDescent="0.25">
      <c r="A36" s="23"/>
      <c r="B36" s="23"/>
      <c r="C36" s="25"/>
    </row>
    <row r="37" spans="1:7" x14ac:dyDescent="0.25">
      <c r="A37" s="23"/>
      <c r="B37" s="23"/>
      <c r="C37" s="25"/>
    </row>
    <row r="38" spans="1:7" x14ac:dyDescent="0.25">
      <c r="A38" s="23"/>
      <c r="B38" s="23"/>
      <c r="C38" s="25"/>
    </row>
    <row r="39" spans="1:7" x14ac:dyDescent="0.25">
      <c r="A39" s="23"/>
      <c r="B39" s="23"/>
      <c r="C39" s="25"/>
    </row>
    <row r="40" spans="1:7" x14ac:dyDescent="0.25">
      <c r="A40" s="23"/>
      <c r="B40" s="23"/>
      <c r="C40" s="25"/>
    </row>
    <row r="41" spans="1:7" x14ac:dyDescent="0.25">
      <c r="A41" s="23"/>
      <c r="B41" s="23"/>
      <c r="C41" s="25"/>
    </row>
    <row r="42" spans="1:7" x14ac:dyDescent="0.25">
      <c r="A42" s="23"/>
      <c r="B42" s="23"/>
      <c r="C42" s="25"/>
    </row>
    <row r="43" spans="1:7" x14ac:dyDescent="0.25">
      <c r="A43" s="23"/>
      <c r="B43" s="23"/>
      <c r="C43" s="25"/>
    </row>
    <row r="44" spans="1:7" x14ac:dyDescent="0.25">
      <c r="A44" s="23"/>
      <c r="B44" s="23"/>
      <c r="C44" s="25"/>
    </row>
    <row r="45" spans="1:7" x14ac:dyDescent="0.25">
      <c r="A45" s="23"/>
      <c r="B45" s="23"/>
      <c r="C45" s="25"/>
    </row>
    <row r="46" spans="1:7" x14ac:dyDescent="0.25">
      <c r="A46" s="23"/>
      <c r="B46" s="23"/>
      <c r="C46" s="25"/>
    </row>
    <row r="47" spans="1:7" x14ac:dyDescent="0.25">
      <c r="A47" s="23"/>
      <c r="B47" s="23"/>
      <c r="C47" s="25"/>
    </row>
    <row r="48" spans="1:7" x14ac:dyDescent="0.25">
      <c r="A48" s="23"/>
      <c r="B48" s="23"/>
      <c r="C48" s="25"/>
    </row>
    <row r="49" spans="1:8" x14ac:dyDescent="0.25">
      <c r="A49" s="23"/>
      <c r="B49" s="23"/>
      <c r="C49" s="25"/>
    </row>
    <row r="50" spans="1:8" x14ac:dyDescent="0.25">
      <c r="A50" s="23"/>
      <c r="B50" s="23"/>
      <c r="C50" s="25"/>
    </row>
    <row r="51" spans="1:8" x14ac:dyDescent="0.25">
      <c r="A51" s="23"/>
      <c r="B51" s="23"/>
      <c r="C51" s="25"/>
    </row>
    <row r="52" spans="1:8" x14ac:dyDescent="0.25">
      <c r="A52" s="23"/>
      <c r="B52" s="23"/>
      <c r="C52" s="25"/>
    </row>
    <row r="53" spans="1:8" x14ac:dyDescent="0.25">
      <c r="E53" s="23"/>
      <c r="F53" s="23"/>
      <c r="G53" s="23"/>
      <c r="H53" s="25"/>
    </row>
  </sheetData>
  <mergeCells count="1">
    <mergeCell ref="A1:N1"/>
  </mergeCells>
  <phoneticPr fontId="10" type="noConversion"/>
  <conditionalFormatting sqref="A4:N23">
    <cfRule type="expression" dxfId="55" priority="26">
      <formula>$M4="Inactive"</formula>
    </cfRule>
    <cfRule type="expression" dxfId="54" priority="27">
      <formula>$H4="Critical Spare"</formula>
    </cfRule>
  </conditionalFormatting>
  <conditionalFormatting sqref="A24:N32 A53:D53 I53:N53 A54:N500">
    <cfRule type="expression" dxfId="53" priority="18">
      <formula>$N24="Inactive"</formula>
    </cfRule>
    <cfRule type="expression" dxfId="52" priority="19">
      <formula>$H24="Critical Spare"</formula>
    </cfRule>
  </conditionalFormatting>
  <conditionalFormatting sqref="D33:I52">
    <cfRule type="expression" dxfId="51" priority="77">
      <formula>$I33="Inactive"</formula>
    </cfRule>
    <cfRule type="expression" dxfId="50" priority="78">
      <formula>$C33="Critical Spare"</formula>
    </cfRule>
  </conditionalFormatting>
  <dataValidations count="7">
    <dataValidation type="list" showInputMessage="1" showErrorMessage="1" errorTitle="Invalid entry" error="Please select a value from the list." promptTitle="Material Group" prompt="Select the material category." sqref="C53:C500 C24:C32" xr:uid="{00000000-0002-0000-0000-000000000000}">
      <formula1>"Raw Steel,Hydraulic Components,Engine Parts,Fasteners,Consumables,Finished Spares"</formula1>
      <formula2>0</formula2>
    </dataValidation>
    <dataValidation type="list" showInputMessage="1" showErrorMessage="1" errorTitle="Invalid entry" error="Please select a value from the list." promptTitle="Status" prompt="Select material status." sqref="M4:M23 I33:I52 N24:N32 N53:N500" xr:uid="{00000000-0002-0000-0000-000006000000}">
      <formula1>"Active,Inactive"</formula1>
      <formula2>0</formula2>
    </dataValidation>
    <dataValidation type="list" showInputMessage="1" showErrorMessage="1" errorTitle="Invalid entry" error="Please select a value from the list." promptTitle="Criticality Flag" prompt="Flag machine-down-risk items." sqref="H4:H23 H24:H32 H54:H500" xr:uid="{00000000-0002-0000-0000-000004000000}">
      <formula1>"Critical Spare,Standard"</formula1>
      <formula2>0</formula2>
    </dataValidation>
    <dataValidation type="list" showInputMessage="1" showErrorMessage="1" errorTitle="Invalid entry" error="Please select a value from the list." promptTitle="Storage/Handling Class" prompt="Select storage handling requirement." sqref="D33:D52 I4:I32 I53:I500" xr:uid="{00000000-0002-0000-0000-000005000000}">
      <formula1>"Standard,Heavy/Bulk,Hazardous,Fragile"</formula1>
      <formula2>0</formula2>
    </dataValidation>
    <dataValidation type="list" showInputMessage="1" showErrorMessage="1" errorTitle="Invalid entry" error="Please select a value from the list." promptTitle="Base UoM" prompt="Select the base unit of measure." sqref="D4:D23 D24:D500 E24:E32 E54:E500" xr:uid="{00000000-0002-0000-0000-000001000000}">
      <formula1>"PCS,KG,MTR,LTR,BOX"</formula1>
      <formula2>0</formula2>
    </dataValidation>
    <dataValidation type="list" allowBlank="1" showInputMessage="1" showErrorMessage="1" sqref="C4:C23" xr:uid="{101417DC-3BD9-4612-AFA3-709F519D356D}">
      <formula1>"Hydraulic Components, Engine Components, Electrical Components, Undercarriage Components, Fasteners, Filters, Lubricants &amp; Fluids, Raw Materials, Consumables"</formula1>
    </dataValidation>
    <dataValidation type="list" showInputMessage="1" showErrorMessage="1" sqref="E4:E12" xr:uid="{FCC0FDE7-72BB-4D58-9001-3623EB5A5A23}">
      <formula1>"SUP-0001,SUP-0002,SUP-0003,SUP-0004,SUP-0005,SUP-0006,SUP-0007,SUP-0008,SUP-0009,SUP-0010"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37425827-78BB-4EED-99ED-68AF6329E1DF}">
          <x14:formula1>
            <xm:f>'02_Master_Supplier'!$A$4:$A$13</xm:f>
          </x14:formula1>
          <xm:sqref>E13:E23</xm:sqref>
        </x14:dataValidation>
        <x14:dataValidation type="list" showInputMessage="1" showErrorMessage="1" xr:uid="{B67629E5-7AE8-4167-8634-81AF43DF4760}">
          <x14:formula1>
            <xm:f>'03_Master_Location'!$A$4:$A$23</xm:f>
          </x14:formula1>
          <xm:sqref>F4:F23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4"/>
  <sheetViews>
    <sheetView showGridLines="0" zoomScaleNormal="100" workbookViewId="0">
      <pane ySplit="3" topLeftCell="A4" activePane="bottomLeft" state="frozen"/>
      <selection pane="bottomLeft" activeCell="E24" sqref="A17:E24"/>
    </sheetView>
  </sheetViews>
  <sheetFormatPr defaultColWidth="8.7109375" defaultRowHeight="15" x14ac:dyDescent="0.25"/>
  <cols>
    <col min="1" max="1" width="14" customWidth="1"/>
    <col min="2" max="2" width="32" customWidth="1"/>
    <col min="3" max="3" width="23.85546875" bestFit="1" customWidth="1"/>
    <col min="4" max="4" width="14.7109375" customWidth="1"/>
    <col min="5" max="5" width="21.5703125" bestFit="1" customWidth="1"/>
    <col min="6" max="6" width="29.28515625" bestFit="1" customWidth="1"/>
    <col min="7" max="7" width="18.5703125" customWidth="1"/>
    <col min="8" max="8" width="14" customWidth="1"/>
    <col min="9" max="9" width="10" customWidth="1"/>
    <col min="11" max="17" width="11" customWidth="1"/>
  </cols>
  <sheetData>
    <row r="1" spans="1:17" ht="24" customHeight="1" x14ac:dyDescent="0.25">
      <c r="A1" s="80" t="s">
        <v>68</v>
      </c>
      <c r="B1" s="80"/>
      <c r="C1" s="80"/>
      <c r="D1" s="80"/>
      <c r="E1" s="80"/>
      <c r="F1" s="80"/>
      <c r="G1" s="80"/>
      <c r="H1" s="80"/>
      <c r="I1" s="80"/>
    </row>
    <row r="3" spans="1:17" ht="31.5" customHeight="1" x14ac:dyDescent="0.25">
      <c r="A3" s="1" t="s">
        <v>69</v>
      </c>
      <c r="B3" s="1" t="s">
        <v>70</v>
      </c>
      <c r="C3" s="1" t="s">
        <v>71</v>
      </c>
      <c r="D3" s="1" t="s">
        <v>72</v>
      </c>
      <c r="E3" s="1" t="s">
        <v>73</v>
      </c>
      <c r="F3" s="1" t="s">
        <v>74</v>
      </c>
      <c r="G3" s="1" t="s">
        <v>75</v>
      </c>
      <c r="H3" s="1" t="s">
        <v>76</v>
      </c>
      <c r="I3" s="1" t="s">
        <v>13</v>
      </c>
    </row>
    <row r="4" spans="1:17" x14ac:dyDescent="0.25">
      <c r="A4" s="2" t="s">
        <v>168</v>
      </c>
      <c r="B4" s="2" t="s">
        <v>176</v>
      </c>
      <c r="C4" s="2" t="s">
        <v>175</v>
      </c>
      <c r="D4" s="2" t="s">
        <v>77</v>
      </c>
      <c r="E4" s="2" t="s">
        <v>177</v>
      </c>
      <c r="F4" s="2" t="s">
        <v>178</v>
      </c>
      <c r="G4" s="2" t="s">
        <v>78</v>
      </c>
      <c r="H4" s="2" t="s">
        <v>79</v>
      </c>
      <c r="I4" s="2" t="s">
        <v>20</v>
      </c>
      <c r="K4" t="s">
        <v>201</v>
      </c>
      <c r="L4" t="s">
        <v>202</v>
      </c>
      <c r="M4" t="s">
        <v>203</v>
      </c>
      <c r="N4" t="s">
        <v>204</v>
      </c>
      <c r="O4" t="s">
        <v>205</v>
      </c>
      <c r="P4" t="s">
        <v>206</v>
      </c>
      <c r="Q4" t="s">
        <v>13</v>
      </c>
    </row>
    <row r="5" spans="1:17" x14ac:dyDescent="0.25">
      <c r="A5" s="2" t="s">
        <v>88</v>
      </c>
      <c r="B5" s="2" t="s">
        <v>179</v>
      </c>
      <c r="C5" s="2" t="s">
        <v>175</v>
      </c>
      <c r="D5" s="2" t="s">
        <v>77</v>
      </c>
      <c r="E5" s="2" t="s">
        <v>180</v>
      </c>
      <c r="F5" s="2" t="s">
        <v>181</v>
      </c>
      <c r="G5" s="2" t="s">
        <v>80</v>
      </c>
      <c r="H5" s="2" t="s">
        <v>81</v>
      </c>
      <c r="I5" s="2" t="s">
        <v>20</v>
      </c>
      <c r="Q5" t="s">
        <v>208</v>
      </c>
    </row>
    <row r="6" spans="1:17" x14ac:dyDescent="0.25">
      <c r="A6" s="2" t="s">
        <v>169</v>
      </c>
      <c r="B6" s="2" t="s">
        <v>182</v>
      </c>
      <c r="C6" s="2" t="s">
        <v>183</v>
      </c>
      <c r="D6" s="2" t="s">
        <v>77</v>
      </c>
      <c r="E6" s="2" t="s">
        <v>184</v>
      </c>
      <c r="F6" s="2" t="s">
        <v>185</v>
      </c>
      <c r="G6" s="2" t="s">
        <v>82</v>
      </c>
      <c r="H6" s="2" t="s">
        <v>79</v>
      </c>
      <c r="I6" s="2" t="s">
        <v>20</v>
      </c>
      <c r="Q6" t="s">
        <v>208</v>
      </c>
    </row>
    <row r="7" spans="1:17" x14ac:dyDescent="0.25">
      <c r="A7" s="2" t="s">
        <v>170</v>
      </c>
      <c r="B7" s="2" t="s">
        <v>186</v>
      </c>
      <c r="C7" s="2" t="s">
        <v>175</v>
      </c>
      <c r="D7" s="2" t="s">
        <v>77</v>
      </c>
      <c r="E7" s="2" t="s">
        <v>180</v>
      </c>
      <c r="F7" s="2" t="s">
        <v>187</v>
      </c>
      <c r="G7" s="2" t="s">
        <v>83</v>
      </c>
      <c r="H7" s="2" t="s">
        <v>81</v>
      </c>
      <c r="I7" s="2" t="s">
        <v>20</v>
      </c>
      <c r="Q7" t="s">
        <v>207</v>
      </c>
    </row>
    <row r="8" spans="1:17" x14ac:dyDescent="0.25">
      <c r="A8" s="2" t="s">
        <v>23</v>
      </c>
      <c r="B8" s="2" t="s">
        <v>188</v>
      </c>
      <c r="C8" s="2" t="s">
        <v>183</v>
      </c>
      <c r="D8" s="2" t="s">
        <v>84</v>
      </c>
      <c r="E8" s="2" t="s">
        <v>189</v>
      </c>
      <c r="F8" s="2" t="s">
        <v>190</v>
      </c>
      <c r="G8" s="2" t="s">
        <v>85</v>
      </c>
      <c r="H8" s="2" t="s">
        <v>79</v>
      </c>
      <c r="I8" s="2" t="s">
        <v>20</v>
      </c>
      <c r="Q8" t="s">
        <v>207</v>
      </c>
    </row>
    <row r="9" spans="1:17" x14ac:dyDescent="0.25">
      <c r="A9" s="2" t="s">
        <v>171</v>
      </c>
      <c r="B9" s="2" t="s">
        <v>191</v>
      </c>
      <c r="C9" s="2" t="s">
        <v>192</v>
      </c>
      <c r="D9" s="2" t="s">
        <v>86</v>
      </c>
      <c r="E9" s="2" t="s">
        <v>193</v>
      </c>
      <c r="F9" s="2" t="s">
        <v>194</v>
      </c>
      <c r="G9" s="2" t="s">
        <v>87</v>
      </c>
      <c r="H9" s="2" t="s">
        <v>79</v>
      </c>
      <c r="I9" s="2" t="s">
        <v>20</v>
      </c>
      <c r="Q9" t="s">
        <v>208</v>
      </c>
    </row>
    <row r="10" spans="1:17" x14ac:dyDescent="0.25">
      <c r="A10" s="2" t="s">
        <v>172</v>
      </c>
      <c r="B10" s="2" t="s">
        <v>195</v>
      </c>
      <c r="C10" s="2" t="s">
        <v>183</v>
      </c>
      <c r="D10" s="2" t="s">
        <v>77</v>
      </c>
      <c r="E10" s="2" t="s">
        <v>189</v>
      </c>
      <c r="F10" s="2" t="s">
        <v>196</v>
      </c>
      <c r="G10" s="2" t="s">
        <v>89</v>
      </c>
      <c r="H10" s="2" t="s">
        <v>79</v>
      </c>
      <c r="I10" s="2" t="s">
        <v>20</v>
      </c>
      <c r="Q10" t="s">
        <v>208</v>
      </c>
    </row>
    <row r="11" spans="1:17" x14ac:dyDescent="0.25">
      <c r="A11" s="2" t="s">
        <v>173</v>
      </c>
      <c r="B11" s="2" t="s">
        <v>197</v>
      </c>
      <c r="C11" s="2" t="s">
        <v>175</v>
      </c>
      <c r="D11" s="2" t="s">
        <v>84</v>
      </c>
      <c r="E11" s="2" t="s">
        <v>180</v>
      </c>
      <c r="F11" s="2" t="s">
        <v>198</v>
      </c>
      <c r="G11" s="2" t="s">
        <v>90</v>
      </c>
      <c r="H11" s="2" t="s">
        <v>81</v>
      </c>
      <c r="I11" s="2" t="s">
        <v>20</v>
      </c>
      <c r="Q11" t="s">
        <v>207</v>
      </c>
    </row>
    <row r="12" spans="1:17" x14ac:dyDescent="0.25">
      <c r="A12" s="2" t="s">
        <v>30</v>
      </c>
      <c r="B12" s="2" t="s">
        <v>221</v>
      </c>
      <c r="C12" s="2" t="s">
        <v>222</v>
      </c>
      <c r="D12" s="2" t="s">
        <v>77</v>
      </c>
      <c r="E12" s="2" t="s">
        <v>184</v>
      </c>
      <c r="F12" s="2" t="s">
        <v>223</v>
      </c>
      <c r="G12" s="2" t="s">
        <v>91</v>
      </c>
      <c r="H12" s="2" t="s">
        <v>81</v>
      </c>
      <c r="I12" s="2" t="s">
        <v>20</v>
      </c>
      <c r="Q12" t="s">
        <v>207</v>
      </c>
    </row>
    <row r="13" spans="1:17" x14ac:dyDescent="0.25">
      <c r="A13" s="2" t="s">
        <v>174</v>
      </c>
      <c r="B13" s="2" t="s">
        <v>199</v>
      </c>
      <c r="C13" s="2" t="s">
        <v>175</v>
      </c>
      <c r="D13" s="2" t="s">
        <v>77</v>
      </c>
      <c r="E13" s="2" t="s">
        <v>180</v>
      </c>
      <c r="F13" s="2" t="s">
        <v>200</v>
      </c>
      <c r="G13" s="2" t="s">
        <v>92</v>
      </c>
      <c r="H13" s="2" t="s">
        <v>81</v>
      </c>
      <c r="I13" s="2" t="s">
        <v>20</v>
      </c>
      <c r="Q13" t="s">
        <v>207</v>
      </c>
    </row>
    <row r="16" spans="1:17" x14ac:dyDescent="0.25">
      <c r="A16" s="4" t="s">
        <v>67</v>
      </c>
    </row>
    <row r="17" spans="1:8" x14ac:dyDescent="0.25">
      <c r="A17" s="67"/>
      <c r="B17" s="68"/>
      <c r="C17" s="68"/>
      <c r="D17" s="68"/>
      <c r="E17" s="68"/>
    </row>
    <row r="18" spans="1:8" x14ac:dyDescent="0.25">
      <c r="A18" s="67"/>
      <c r="B18" s="68"/>
      <c r="C18" s="68"/>
      <c r="D18" s="68"/>
      <c r="E18" s="68"/>
    </row>
    <row r="19" spans="1:8" x14ac:dyDescent="0.25">
      <c r="A19" s="67"/>
      <c r="B19" s="68"/>
      <c r="C19" s="68"/>
      <c r="D19" s="68"/>
      <c r="E19" s="68"/>
    </row>
    <row r="20" spans="1:8" x14ac:dyDescent="0.25">
      <c r="A20" s="67"/>
      <c r="B20" s="68"/>
      <c r="C20" s="68"/>
      <c r="D20" s="68"/>
      <c r="E20" s="68"/>
    </row>
    <row r="21" spans="1:8" x14ac:dyDescent="0.25">
      <c r="A21" s="67"/>
      <c r="B21" s="68"/>
      <c r="C21" s="68"/>
      <c r="D21" s="68"/>
      <c r="E21" s="68"/>
    </row>
    <row r="22" spans="1:8" x14ac:dyDescent="0.25">
      <c r="A22" s="68"/>
      <c r="B22" s="68"/>
      <c r="C22" s="68"/>
      <c r="D22" s="68"/>
      <c r="E22" s="68"/>
    </row>
    <row r="23" spans="1:8" x14ac:dyDescent="0.25">
      <c r="A23" s="68"/>
      <c r="B23" s="68"/>
      <c r="C23" s="68"/>
      <c r="D23" s="68"/>
      <c r="E23" s="68"/>
    </row>
    <row r="24" spans="1:8" x14ac:dyDescent="0.25">
      <c r="A24" s="69"/>
      <c r="B24" s="69"/>
      <c r="C24" s="69"/>
      <c r="D24" s="69"/>
      <c r="E24" s="69"/>
      <c r="F24" s="22"/>
      <c r="G24" s="22"/>
      <c r="H24" s="22"/>
    </row>
    <row r="25" spans="1:8" x14ac:dyDescent="0.25">
      <c r="A25" s="27"/>
      <c r="B25" s="23"/>
      <c r="C25" s="23"/>
      <c r="D25" s="23"/>
      <c r="E25" s="23"/>
      <c r="F25" s="28"/>
      <c r="G25" s="23"/>
      <c r="H25" s="23"/>
    </row>
    <row r="26" spans="1:8" x14ac:dyDescent="0.25">
      <c r="A26" s="27"/>
      <c r="B26" s="23"/>
      <c r="C26" s="23"/>
      <c r="D26" s="23"/>
      <c r="E26" s="23"/>
      <c r="F26" s="28"/>
      <c r="G26" s="23"/>
      <c r="H26" s="23"/>
    </row>
    <row r="27" spans="1:8" x14ac:dyDescent="0.25">
      <c r="A27" s="27"/>
      <c r="B27" s="23"/>
      <c r="C27" s="23"/>
      <c r="D27" s="23"/>
      <c r="E27" s="23"/>
      <c r="F27" s="28"/>
      <c r="G27" s="23"/>
      <c r="H27" s="23"/>
    </row>
    <row r="28" spans="1:8" x14ac:dyDescent="0.25">
      <c r="A28" s="27"/>
      <c r="B28" s="23"/>
      <c r="C28" s="23"/>
      <c r="D28" s="23"/>
      <c r="E28" s="23"/>
      <c r="F28" s="28"/>
      <c r="G28" s="23"/>
      <c r="H28" s="23"/>
    </row>
    <row r="29" spans="1:8" x14ac:dyDescent="0.25">
      <c r="A29" s="27"/>
      <c r="B29" s="23"/>
      <c r="C29" s="23"/>
      <c r="D29" s="23"/>
      <c r="E29" s="23"/>
      <c r="F29" s="28"/>
      <c r="G29" s="23"/>
      <c r="H29" s="23"/>
    </row>
    <row r="30" spans="1:8" x14ac:dyDescent="0.25">
      <c r="A30" s="27"/>
      <c r="B30" s="23"/>
      <c r="C30" s="23"/>
      <c r="D30" s="23"/>
      <c r="E30" s="23"/>
      <c r="F30" s="28"/>
      <c r="G30" s="23"/>
      <c r="H30" s="23"/>
    </row>
    <row r="31" spans="1:8" x14ac:dyDescent="0.25">
      <c r="A31" s="27"/>
      <c r="B31" s="23"/>
      <c r="C31" s="23"/>
      <c r="D31" s="23"/>
      <c r="E31" s="23"/>
      <c r="F31" s="28"/>
      <c r="G31" s="23"/>
      <c r="H31" s="23"/>
    </row>
    <row r="32" spans="1:8" x14ac:dyDescent="0.25">
      <c r="A32" s="27"/>
      <c r="B32" s="23"/>
      <c r="C32" s="23"/>
      <c r="D32" s="23"/>
      <c r="E32" s="23"/>
      <c r="F32" s="28"/>
      <c r="G32" s="23"/>
      <c r="H32" s="23"/>
    </row>
    <row r="33" spans="1:8" x14ac:dyDescent="0.25">
      <c r="A33" s="27"/>
      <c r="B33" s="23"/>
      <c r="C33" s="23"/>
      <c r="D33" s="23"/>
      <c r="E33" s="23"/>
      <c r="F33" s="28"/>
      <c r="G33" s="23"/>
      <c r="H33" s="23"/>
    </row>
    <row r="34" spans="1:8" x14ac:dyDescent="0.25">
      <c r="A34" s="27"/>
      <c r="B34" s="23"/>
      <c r="C34" s="23"/>
      <c r="D34" s="23"/>
      <c r="E34" s="23"/>
      <c r="F34" s="28"/>
      <c r="G34" s="23"/>
      <c r="H34" s="23"/>
    </row>
  </sheetData>
  <mergeCells count="1">
    <mergeCell ref="A1:I1"/>
  </mergeCells>
  <phoneticPr fontId="10" type="noConversion"/>
  <conditionalFormatting sqref="A4:I13">
    <cfRule type="expression" dxfId="49" priority="37">
      <formula>$I4="Inactive"</formula>
    </cfRule>
    <cfRule type="expression" dxfId="48" priority="38">
      <formula>$H4="Preferred"</formula>
    </cfRule>
  </conditionalFormatting>
  <conditionalFormatting sqref="H14:H23">
    <cfRule type="expression" dxfId="47" priority="7">
      <formula>$H14="Under Review"</formula>
    </cfRule>
  </conditionalFormatting>
  <conditionalFormatting sqref="K5:Q13">
    <cfRule type="expression" dxfId="46" priority="2">
      <formula>$Q5="aktif"</formula>
    </cfRule>
    <cfRule type="expression" dxfId="45" priority="3">
      <formula>$Q5="tidak aktif"</formula>
    </cfRule>
  </conditionalFormatting>
  <dataValidations count="6">
    <dataValidation type="list" showInputMessage="1" showErrorMessage="1" errorTitle="Invalid entry" error="Please select a value from the list." promptTitle="Supplier Type" prompt="Select supplier role." sqref="C14:D23 C35:D500" xr:uid="{00000000-0002-0000-0100-000000000000}">
      <formula1>"Manufacturer,Authorized Distributor,Local Trader"</formula1>
      <formula2>0</formula2>
    </dataValidation>
    <dataValidation type="list" showInputMessage="1" showErrorMessage="1" errorTitle="Invalid entry" error="Please select a value from the list." promptTitle="Supplier Rating" prompt="Reliability rating." sqref="H35:H500 H14:H23" xr:uid="{00000000-0002-0000-0100-000002000000}">
      <formula1>"Preferred,Approved,Under Review"</formula1>
      <formula2>0</formula2>
    </dataValidation>
    <dataValidation type="list" showInputMessage="1" showErrorMessage="1" errorTitle="Invalid entry" error="Please select a value from the list." promptTitle="Status" prompt="Supplier status." sqref="I4:I500" xr:uid="{00000000-0002-0000-0100-000003000000}">
      <formula1>"Active,Inactive"</formula1>
      <formula2>0</formula2>
    </dataValidation>
    <dataValidation type="list" showInputMessage="1" showErrorMessage="1" sqref="C4:C13" xr:uid="{67948513-D535-4FAB-BF78-4189F84188ED}">
      <formula1>"Manufacturer,Authorized Distributor,Local Distributor,Industrial Trading Company"</formula1>
    </dataValidation>
    <dataValidation type="list" showInputMessage="1" showErrorMessage="1" errorTitle="Invalid entry" error="Please select a value from the list." promptTitle="Supplier Rating" prompt="Reliability rating." sqref="H4:H13" xr:uid="{5147AF7B-B7CE-4F01-92D0-FC405D810025}">
      <formula1>"Preferred,Approved,Conditional,Restricted"</formula1>
    </dataValidation>
    <dataValidation type="list" showInputMessage="1" showErrorMessage="1" sqref="Q5:Q13" xr:uid="{CC179B5D-9CB0-4C28-93C3-68322E60A48A}">
      <formula1>"aktif,tidak aktif"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6"/>
  <sheetViews>
    <sheetView showGridLines="0" zoomScale="90" zoomScaleNormal="90" workbookViewId="0">
      <pane ySplit="3" topLeftCell="A4" activePane="bottomLeft" state="frozen"/>
      <selection pane="bottomLeft" activeCell="B6" sqref="B6"/>
    </sheetView>
  </sheetViews>
  <sheetFormatPr defaultColWidth="8.7109375" defaultRowHeight="15" x14ac:dyDescent="0.25"/>
  <cols>
    <col min="1" max="1" width="16" customWidth="1"/>
    <col min="2" max="2" width="44.140625" bestFit="1" customWidth="1"/>
    <col min="3" max="3" width="20" customWidth="1"/>
    <col min="4" max="4" width="26" customWidth="1"/>
    <col min="5" max="5" width="20.28515625" bestFit="1" customWidth="1"/>
    <col min="6" max="6" width="16" customWidth="1"/>
    <col min="7" max="7" width="12.7109375" customWidth="1"/>
  </cols>
  <sheetData>
    <row r="1" spans="1:8" ht="24" customHeight="1" x14ac:dyDescent="0.25">
      <c r="A1" s="80" t="s">
        <v>93</v>
      </c>
      <c r="B1" s="80"/>
      <c r="C1" s="80"/>
      <c r="D1" s="80"/>
      <c r="E1" s="80"/>
      <c r="F1" s="80"/>
      <c r="G1" s="80"/>
      <c r="H1" s="80"/>
    </row>
    <row r="3" spans="1:8" ht="31.5" customHeight="1" x14ac:dyDescent="0.25">
      <c r="A3" s="1" t="s">
        <v>94</v>
      </c>
      <c r="B3" s="1" t="s">
        <v>95</v>
      </c>
      <c r="C3" s="1" t="s">
        <v>96</v>
      </c>
      <c r="D3" s="1" t="s">
        <v>209</v>
      </c>
      <c r="E3" s="1" t="s">
        <v>97</v>
      </c>
      <c r="F3" s="1" t="s">
        <v>98</v>
      </c>
      <c r="G3" s="1" t="s">
        <v>99</v>
      </c>
      <c r="H3" s="1" t="s">
        <v>13</v>
      </c>
    </row>
    <row r="4" spans="1:8" x14ac:dyDescent="0.25">
      <c r="A4" s="2" t="s">
        <v>152</v>
      </c>
      <c r="B4" s="2" t="s">
        <v>273</v>
      </c>
      <c r="C4" s="2" t="s">
        <v>102</v>
      </c>
      <c r="D4" s="2" t="s">
        <v>210</v>
      </c>
      <c r="E4" s="2" t="s">
        <v>19</v>
      </c>
      <c r="F4" s="2" t="s">
        <v>103</v>
      </c>
      <c r="G4" s="3">
        <v>100</v>
      </c>
      <c r="H4" s="2" t="s">
        <v>20</v>
      </c>
    </row>
    <row r="5" spans="1:8" x14ac:dyDescent="0.25">
      <c r="A5" s="2" t="s">
        <v>211</v>
      </c>
      <c r="B5" s="2" t="s">
        <v>274</v>
      </c>
      <c r="C5" s="2" t="s">
        <v>102</v>
      </c>
      <c r="D5" s="2" t="s">
        <v>210</v>
      </c>
      <c r="E5" s="2" t="s">
        <v>19</v>
      </c>
      <c r="F5" s="2" t="s">
        <v>103</v>
      </c>
      <c r="G5" s="3">
        <v>100</v>
      </c>
      <c r="H5" s="2" t="s">
        <v>20</v>
      </c>
    </row>
    <row r="6" spans="1:8" x14ac:dyDescent="0.25">
      <c r="A6" s="2" t="s">
        <v>158</v>
      </c>
      <c r="B6" s="2" t="s">
        <v>275</v>
      </c>
      <c r="C6" s="2" t="s">
        <v>102</v>
      </c>
      <c r="D6" s="2" t="s">
        <v>210</v>
      </c>
      <c r="E6" s="2" t="s">
        <v>19</v>
      </c>
      <c r="F6" s="2" t="s">
        <v>103</v>
      </c>
      <c r="G6" s="3">
        <v>100</v>
      </c>
      <c r="H6" s="2" t="s">
        <v>20</v>
      </c>
    </row>
    <row r="7" spans="1:8" x14ac:dyDescent="0.25">
      <c r="A7" s="2" t="s">
        <v>166</v>
      </c>
      <c r="B7" s="2" t="s">
        <v>276</v>
      </c>
      <c r="C7" s="2" t="s">
        <v>102</v>
      </c>
      <c r="D7" s="2" t="s">
        <v>210</v>
      </c>
      <c r="E7" s="2" t="s">
        <v>19</v>
      </c>
      <c r="F7" s="2" t="s">
        <v>103</v>
      </c>
      <c r="G7" s="3">
        <v>100</v>
      </c>
      <c r="H7" s="2" t="s">
        <v>20</v>
      </c>
    </row>
    <row r="8" spans="1:8" x14ac:dyDescent="0.25">
      <c r="A8" s="2" t="s">
        <v>163</v>
      </c>
      <c r="B8" s="2" t="s">
        <v>277</v>
      </c>
      <c r="C8" s="2" t="s">
        <v>102</v>
      </c>
      <c r="D8" s="2" t="s">
        <v>210</v>
      </c>
      <c r="E8" s="2" t="s">
        <v>19</v>
      </c>
      <c r="F8" s="2" t="s">
        <v>103</v>
      </c>
      <c r="G8" s="3">
        <v>100</v>
      </c>
      <c r="H8" s="2" t="s">
        <v>20</v>
      </c>
    </row>
    <row r="9" spans="1:8" x14ac:dyDescent="0.25">
      <c r="A9" s="2" t="s">
        <v>164</v>
      </c>
      <c r="B9" s="2" t="s">
        <v>278</v>
      </c>
      <c r="C9" s="2" t="s">
        <v>102</v>
      </c>
      <c r="D9" s="2" t="s">
        <v>210</v>
      </c>
      <c r="E9" s="2" t="s">
        <v>19</v>
      </c>
      <c r="F9" s="2" t="s">
        <v>103</v>
      </c>
      <c r="G9" s="3">
        <v>100</v>
      </c>
      <c r="H9" s="2" t="s">
        <v>20</v>
      </c>
    </row>
    <row r="10" spans="1:8" x14ac:dyDescent="0.25">
      <c r="A10" s="2" t="s">
        <v>153</v>
      </c>
      <c r="B10" s="2" t="s">
        <v>314</v>
      </c>
      <c r="C10" s="2" t="s">
        <v>102</v>
      </c>
      <c r="D10" s="2" t="s">
        <v>210</v>
      </c>
      <c r="E10" s="2" t="s">
        <v>19</v>
      </c>
      <c r="F10" s="2" t="s">
        <v>103</v>
      </c>
      <c r="G10" s="3">
        <v>101</v>
      </c>
      <c r="H10" s="2" t="s">
        <v>20</v>
      </c>
    </row>
    <row r="11" spans="1:8" x14ac:dyDescent="0.25">
      <c r="A11" s="2" t="s">
        <v>157</v>
      </c>
      <c r="B11" s="2" t="s">
        <v>313</v>
      </c>
      <c r="C11" s="2" t="s">
        <v>102</v>
      </c>
      <c r="D11" s="2" t="s">
        <v>210</v>
      </c>
      <c r="E11" s="2" t="s">
        <v>19</v>
      </c>
      <c r="F11" s="2" t="s">
        <v>103</v>
      </c>
      <c r="G11" s="3">
        <v>102</v>
      </c>
      <c r="H11" s="2" t="s">
        <v>20</v>
      </c>
    </row>
    <row r="12" spans="1:8" x14ac:dyDescent="0.25">
      <c r="A12" s="2" t="s">
        <v>165</v>
      </c>
      <c r="B12" s="2" t="s">
        <v>315</v>
      </c>
      <c r="C12" s="2" t="s">
        <v>102</v>
      </c>
      <c r="D12" s="2" t="s">
        <v>210</v>
      </c>
      <c r="E12" s="2" t="s">
        <v>19</v>
      </c>
      <c r="F12" s="2" t="s">
        <v>103</v>
      </c>
      <c r="G12" s="3">
        <v>103</v>
      </c>
      <c r="H12" s="2" t="s">
        <v>20</v>
      </c>
    </row>
    <row r="13" spans="1:8" x14ac:dyDescent="0.25">
      <c r="A13" s="2" t="s">
        <v>156</v>
      </c>
      <c r="B13" s="2" t="s">
        <v>310</v>
      </c>
      <c r="C13" s="2" t="s">
        <v>102</v>
      </c>
      <c r="D13" s="2" t="s">
        <v>212</v>
      </c>
      <c r="E13" s="2" t="s">
        <v>24</v>
      </c>
      <c r="F13" s="2" t="s">
        <v>103</v>
      </c>
      <c r="G13" s="3">
        <v>20</v>
      </c>
      <c r="H13" s="2" t="s">
        <v>20</v>
      </c>
    </row>
    <row r="14" spans="1:8" x14ac:dyDescent="0.25">
      <c r="A14" s="2" t="s">
        <v>309</v>
      </c>
      <c r="B14" s="2" t="s">
        <v>279</v>
      </c>
      <c r="C14" s="2" t="s">
        <v>102</v>
      </c>
      <c r="D14" s="2" t="s">
        <v>212</v>
      </c>
      <c r="E14" s="2" t="s">
        <v>24</v>
      </c>
      <c r="F14" s="2" t="s">
        <v>103</v>
      </c>
      <c r="G14" s="3">
        <v>21</v>
      </c>
      <c r="H14" s="2" t="s">
        <v>20</v>
      </c>
    </row>
    <row r="15" spans="1:8" x14ac:dyDescent="0.25">
      <c r="A15" s="2" t="s">
        <v>160</v>
      </c>
      <c r="B15" s="2" t="s">
        <v>280</v>
      </c>
      <c r="C15" s="2" t="s">
        <v>102</v>
      </c>
      <c r="D15" s="2" t="s">
        <v>212</v>
      </c>
      <c r="E15" s="2" t="s">
        <v>24</v>
      </c>
      <c r="F15" s="2" t="s">
        <v>103</v>
      </c>
      <c r="G15" s="3">
        <v>20</v>
      </c>
      <c r="H15" s="2" t="s">
        <v>20</v>
      </c>
    </row>
    <row r="16" spans="1:8" x14ac:dyDescent="0.25">
      <c r="A16" s="2" t="s">
        <v>161</v>
      </c>
      <c r="B16" s="2" t="s">
        <v>311</v>
      </c>
      <c r="C16" s="2" t="s">
        <v>102</v>
      </c>
      <c r="D16" s="2" t="s">
        <v>212</v>
      </c>
      <c r="E16" s="2" t="s">
        <v>24</v>
      </c>
      <c r="F16" s="2" t="s">
        <v>103</v>
      </c>
      <c r="G16" s="3">
        <v>20</v>
      </c>
      <c r="H16" s="2" t="s">
        <v>20</v>
      </c>
    </row>
    <row r="17" spans="1:8" x14ac:dyDescent="0.25">
      <c r="A17" s="2" t="s">
        <v>167</v>
      </c>
      <c r="B17" s="2" t="s">
        <v>312</v>
      </c>
      <c r="C17" s="2" t="s">
        <v>102</v>
      </c>
      <c r="D17" s="2" t="s">
        <v>212</v>
      </c>
      <c r="E17" s="2" t="s">
        <v>24</v>
      </c>
      <c r="F17" s="2" t="s">
        <v>103</v>
      </c>
      <c r="G17" s="3">
        <v>20</v>
      </c>
      <c r="H17" s="2" t="s">
        <v>20</v>
      </c>
    </row>
    <row r="18" spans="1:8" x14ac:dyDescent="0.25">
      <c r="A18" s="2" t="s">
        <v>269</v>
      </c>
      <c r="B18" s="2" t="s">
        <v>271</v>
      </c>
      <c r="C18" s="2" t="s">
        <v>102</v>
      </c>
      <c r="D18" s="2" t="s">
        <v>308</v>
      </c>
      <c r="E18" s="2" t="s">
        <v>24</v>
      </c>
      <c r="F18" s="2" t="s">
        <v>103</v>
      </c>
      <c r="G18" s="3">
        <v>50</v>
      </c>
      <c r="H18" s="2" t="s">
        <v>20</v>
      </c>
    </row>
    <row r="19" spans="1:8" x14ac:dyDescent="0.25">
      <c r="A19" s="2" t="s">
        <v>270</v>
      </c>
      <c r="B19" s="2" t="s">
        <v>272</v>
      </c>
      <c r="C19" s="2" t="s">
        <v>102</v>
      </c>
      <c r="D19" s="2" t="s">
        <v>308</v>
      </c>
      <c r="E19" s="2" t="s">
        <v>24</v>
      </c>
      <c r="F19" s="2" t="s">
        <v>103</v>
      </c>
      <c r="G19" s="3">
        <v>50</v>
      </c>
      <c r="H19" s="2" t="s">
        <v>20</v>
      </c>
    </row>
    <row r="20" spans="1:8" x14ac:dyDescent="0.25">
      <c r="A20" s="2" t="s">
        <v>154</v>
      </c>
      <c r="B20" s="2" t="s">
        <v>289</v>
      </c>
      <c r="C20" s="2" t="s">
        <v>102</v>
      </c>
      <c r="D20" s="2" t="s">
        <v>213</v>
      </c>
      <c r="E20" s="2" t="s">
        <v>19</v>
      </c>
      <c r="F20" s="2" t="s">
        <v>103</v>
      </c>
      <c r="G20" s="3">
        <v>300</v>
      </c>
      <c r="H20" s="2" t="s">
        <v>20</v>
      </c>
    </row>
    <row r="21" spans="1:8" x14ac:dyDescent="0.25">
      <c r="A21" s="2" t="s">
        <v>162</v>
      </c>
      <c r="B21" s="2" t="s">
        <v>290</v>
      </c>
      <c r="C21" s="2" t="s">
        <v>102</v>
      </c>
      <c r="D21" s="2" t="s">
        <v>213</v>
      </c>
      <c r="E21" s="2" t="s">
        <v>19</v>
      </c>
      <c r="F21" s="2" t="s">
        <v>103</v>
      </c>
      <c r="G21" s="3">
        <v>300</v>
      </c>
      <c r="H21" s="2" t="s">
        <v>20</v>
      </c>
    </row>
    <row r="22" spans="1:8" x14ac:dyDescent="0.25">
      <c r="A22" s="2" t="s">
        <v>155</v>
      </c>
      <c r="B22" s="2" t="s">
        <v>287</v>
      </c>
      <c r="C22" s="2" t="s">
        <v>102</v>
      </c>
      <c r="D22" s="2" t="s">
        <v>214</v>
      </c>
      <c r="E22" s="2" t="s">
        <v>35</v>
      </c>
      <c r="F22" s="2" t="s">
        <v>103</v>
      </c>
      <c r="G22" s="3">
        <v>100</v>
      </c>
      <c r="H22" s="2" t="s">
        <v>20</v>
      </c>
    </row>
    <row r="23" spans="1:8" x14ac:dyDescent="0.25">
      <c r="A23" s="2" t="s">
        <v>159</v>
      </c>
      <c r="B23" s="2" t="s">
        <v>288</v>
      </c>
      <c r="C23" s="2" t="s">
        <v>102</v>
      </c>
      <c r="D23" s="2" t="s">
        <v>214</v>
      </c>
      <c r="E23" s="2" t="s">
        <v>35</v>
      </c>
      <c r="F23" s="2" t="s">
        <v>103</v>
      </c>
      <c r="G23" s="3">
        <v>100</v>
      </c>
      <c r="H23" s="2" t="s">
        <v>20</v>
      </c>
    </row>
    <row r="24" spans="1:8" x14ac:dyDescent="0.25">
      <c r="A24" s="2" t="s">
        <v>281</v>
      </c>
      <c r="B24" s="2" t="s">
        <v>282</v>
      </c>
      <c r="C24" s="2" t="s">
        <v>100</v>
      </c>
      <c r="D24" s="2" t="s">
        <v>215</v>
      </c>
      <c r="E24" s="2" t="s">
        <v>19</v>
      </c>
      <c r="F24" s="2" t="s">
        <v>101</v>
      </c>
      <c r="G24" s="3">
        <v>30</v>
      </c>
      <c r="H24" s="2" t="s">
        <v>20</v>
      </c>
    </row>
    <row r="25" spans="1:8" x14ac:dyDescent="0.25">
      <c r="A25" s="2" t="s">
        <v>284</v>
      </c>
      <c r="B25" s="2" t="s">
        <v>283</v>
      </c>
      <c r="C25" s="2" t="s">
        <v>100</v>
      </c>
      <c r="D25" s="2" t="s">
        <v>215</v>
      </c>
      <c r="E25" s="2" t="s">
        <v>19</v>
      </c>
      <c r="F25" s="2" t="s">
        <v>101</v>
      </c>
      <c r="G25" s="3">
        <v>30</v>
      </c>
      <c r="H25" s="2" t="s">
        <v>20</v>
      </c>
    </row>
    <row r="26" spans="1:8" x14ac:dyDescent="0.25">
      <c r="A26" s="2" t="s">
        <v>285</v>
      </c>
      <c r="B26" s="2" t="s">
        <v>291</v>
      </c>
      <c r="C26" s="2" t="s">
        <v>105</v>
      </c>
      <c r="D26" s="2" t="s">
        <v>216</v>
      </c>
      <c r="E26" s="2" t="s">
        <v>19</v>
      </c>
      <c r="F26" s="2" t="s">
        <v>101</v>
      </c>
      <c r="G26" s="3">
        <v>30</v>
      </c>
      <c r="H26" s="2" t="s">
        <v>20</v>
      </c>
    </row>
    <row r="27" spans="1:8" x14ac:dyDescent="0.25">
      <c r="A27" s="2" t="s">
        <v>286</v>
      </c>
      <c r="B27" s="2" t="s">
        <v>292</v>
      </c>
      <c r="C27" s="2" t="s">
        <v>104</v>
      </c>
      <c r="D27" s="2" t="s">
        <v>217</v>
      </c>
      <c r="E27" s="2" t="s">
        <v>19</v>
      </c>
      <c r="F27" s="2" t="s">
        <v>101</v>
      </c>
      <c r="G27" s="3">
        <v>20</v>
      </c>
      <c r="H27" s="2" t="s">
        <v>20</v>
      </c>
    </row>
    <row r="30" spans="1:8" x14ac:dyDescent="0.25">
      <c r="A30" s="4" t="s">
        <v>67</v>
      </c>
    </row>
    <row r="31" spans="1:8" x14ac:dyDescent="0.25">
      <c r="A31" s="5"/>
    </row>
    <row r="32" spans="1:8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</sheetData>
  <mergeCells count="1">
    <mergeCell ref="A1:H1"/>
  </mergeCells>
  <phoneticPr fontId="10" type="noConversion"/>
  <conditionalFormatting sqref="A28:G36 A61:G513">
    <cfRule type="expression" dxfId="44" priority="2">
      <formula>$G28="Inactive"</formula>
    </cfRule>
    <cfRule type="expression" dxfId="43" priority="3">
      <formula>$D28="Hazardous"</formula>
    </cfRule>
  </conditionalFormatting>
  <conditionalFormatting sqref="A4:H27">
    <cfRule type="expression" dxfId="42" priority="41">
      <formula>$H4="Inactive"</formula>
    </cfRule>
    <cfRule type="expression" dxfId="41" priority="42">
      <formula>$E4="Hazardous"</formula>
    </cfRule>
  </conditionalFormatting>
  <conditionalFormatting sqref="E28:E36 E61:E513">
    <cfRule type="expression" dxfId="40" priority="4">
      <formula>$E28="No"</formula>
    </cfRule>
  </conditionalFormatting>
  <conditionalFormatting sqref="F4:F27">
    <cfRule type="expression" dxfId="39" priority="46">
      <formula>$F4="No"</formula>
    </cfRule>
  </conditionalFormatting>
  <dataValidations count="6">
    <dataValidation type="list" showInputMessage="1" showErrorMessage="1" errorTitle="Invalid entry" error="Please select a value from the list." promptTitle="Zone" prompt="Functional workflow zone." sqref="C61:C513 C4:C36" xr:uid="{00000000-0002-0000-0200-000000000000}">
      <formula1>"Receiving,Storage,Quarantine/QC Hold,Shipping/Staging"</formula1>
      <formula2>0</formula2>
    </dataValidation>
    <dataValidation type="list" showInputMessage="1" showErrorMessage="1" errorTitle="Invalid entry" error="Please select a value from the list." promptTitle="Pickable Flag" prompt="Usable as picking source?" sqref="E61:E513 E28:E36 F4:F27" xr:uid="{00000000-0002-0000-0200-000002000000}">
      <formula1>"Yes,No"</formula1>
      <formula2>0</formula2>
    </dataValidation>
    <dataValidation type="list" showInputMessage="1" showErrorMessage="1" errorTitle="Invalid entry" error="Please select a value from the list." promptTitle="Status" prompt="Location status." sqref="G61:G513 G28:G36 H4:H27" xr:uid="{00000000-0002-0000-0200-000003000000}">
      <formula1>"Active,Inactive"</formula1>
      <formula2>0</formula2>
    </dataValidation>
    <dataValidation type="list" showInputMessage="1" showErrorMessage="1" errorTitle="Invalid entry" error="Please select a value from the list." promptTitle="Storage/Handling Requirement" prompt="Physical handling requirement." sqref="D61:D513 D28:D36" xr:uid="{00000000-0002-0000-0200-000001000000}">
      <formula1>"Standard,Heavy/Bulk,Hazardous,Fragile"</formula1>
      <formula2>0</formula2>
    </dataValidation>
    <dataValidation type="list" showInputMessage="1" showErrorMessage="1" errorTitle="Invalid Location Type" error="Please select a valid option from the list" promptTitle="Location Type" prompt="Storage type category." sqref="D4:D27" xr:uid="{584B25A9-0209-46F1-BE92-6AB0377E4FC7}">
      <formula1>"Standard Rack,Heavy Duty Rack,Bulk Storage,Consumables Rack,Chemical Storage,Receiving Dock,Staging Area,Quarantine Area"</formula1>
    </dataValidation>
    <dataValidation type="list" showInputMessage="1" showErrorMessage="1" errorTitle="Invalid entry" error="Please select a value from the list." promptTitle="Storage/Handling Requirement" prompt="Physical handling requirement." sqref="E4:E27" xr:uid="{073C150B-5FE0-4A89-88C2-3357DB09465A}">
      <formula1>"Standard,Heavy/Bulk,Hazardous"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60"/>
  <sheetViews>
    <sheetView showGridLines="0" zoomScaleNormal="100" workbookViewId="0">
      <pane ySplit="3" topLeftCell="A4" activePane="bottomLeft" state="frozen"/>
      <selection pane="bottomLeft" activeCell="C6" sqref="C6"/>
    </sheetView>
  </sheetViews>
  <sheetFormatPr defaultColWidth="8.7109375" defaultRowHeight="15" x14ac:dyDescent="0.25"/>
  <cols>
    <col min="1" max="1" width="14" customWidth="1"/>
    <col min="2" max="2" width="8" customWidth="1"/>
    <col min="3" max="4" width="12" customWidth="1"/>
    <col min="5" max="5" width="32.42578125" bestFit="1" customWidth="1"/>
    <col min="6" max="6" width="12" customWidth="1"/>
    <col min="7" max="7" width="30" customWidth="1"/>
    <col min="8" max="8" width="12" customWidth="1"/>
    <col min="9" max="9" width="10.28515625" customWidth="1"/>
    <col min="10" max="10" width="14.42578125" bestFit="1" customWidth="1"/>
    <col min="11" max="11" width="15.5703125" style="34" customWidth="1"/>
    <col min="12" max="12" width="12" customWidth="1"/>
    <col min="13" max="13" width="11.5703125" customWidth="1"/>
    <col min="14" max="14" width="15.28515625" customWidth="1"/>
    <col min="15" max="15" width="12.28515625" customWidth="1"/>
    <col min="16" max="16" width="14.7109375" customWidth="1"/>
    <col min="17" max="17" width="16" customWidth="1"/>
    <col min="18" max="18" width="33.5703125" customWidth="1"/>
    <col min="19" max="19" width="18" customWidth="1"/>
  </cols>
  <sheetData>
    <row r="1" spans="1:19" ht="24" customHeight="1" x14ac:dyDescent="0.25">
      <c r="A1" s="80" t="s">
        <v>106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</row>
    <row r="3" spans="1:19" ht="31.5" customHeight="1" x14ac:dyDescent="0.25">
      <c r="A3" s="1" t="s">
        <v>107</v>
      </c>
      <c r="B3" s="1" t="s">
        <v>108</v>
      </c>
      <c r="C3" s="1" t="s">
        <v>109</v>
      </c>
      <c r="D3" s="1" t="s">
        <v>69</v>
      </c>
      <c r="E3" s="1" t="s">
        <v>70</v>
      </c>
      <c r="F3" s="1" t="s">
        <v>1</v>
      </c>
      <c r="G3" s="1" t="s">
        <v>2</v>
      </c>
      <c r="H3" s="1" t="s">
        <v>5</v>
      </c>
      <c r="I3" s="1" t="s">
        <v>220</v>
      </c>
      <c r="J3" s="1" t="s">
        <v>110</v>
      </c>
      <c r="K3" s="32" t="s">
        <v>111</v>
      </c>
      <c r="L3" s="1" t="s">
        <v>112</v>
      </c>
      <c r="M3" s="1" t="s">
        <v>12</v>
      </c>
      <c r="N3" s="1" t="s">
        <v>113</v>
      </c>
      <c r="O3" s="1" t="s">
        <v>218</v>
      </c>
      <c r="P3" s="1" t="s">
        <v>219</v>
      </c>
      <c r="Q3" s="1" t="s">
        <v>114</v>
      </c>
      <c r="R3" s="1" t="s">
        <v>115</v>
      </c>
      <c r="S3" s="1" t="s">
        <v>116</v>
      </c>
    </row>
    <row r="4" spans="1:19" x14ac:dyDescent="0.25">
      <c r="A4" s="6" t="s">
        <v>117</v>
      </c>
      <c r="B4" s="7">
        <v>10</v>
      </c>
      <c r="C4" s="8">
        <v>46235</v>
      </c>
      <c r="D4" s="6" t="s">
        <v>172</v>
      </c>
      <c r="E4" s="9" t="str">
        <f>VLOOKUP(tbl_PurchaseOrder[[#This Row],[Supplier Code]],tbl_MasterSupplier[],2,FALSE)</f>
        <v>Global Hydraulic Solutions Pte Ltd</v>
      </c>
      <c r="F4" s="6" t="s">
        <v>14</v>
      </c>
      <c r="G4" s="9" t="str">
        <f>_xlfn.XLOOKUP(tbl_PurchaseOrder[[#This Row],[Material Code]],tbl_MasterMaterial[Material Code],tbl_MasterMaterial[Material Description])</f>
        <v>Hydraulic Cylinder Seal Kit 80mm</v>
      </c>
      <c r="H4" s="14" t="s">
        <v>17</v>
      </c>
      <c r="I4" s="11">
        <v>40</v>
      </c>
      <c r="J4" s="35">
        <v>730000</v>
      </c>
      <c r="K4" s="33">
        <f>tbl_PurchaseOrder[[#This Row],[Ordered Qty]]*J4</f>
        <v>29200000</v>
      </c>
      <c r="L4" s="14" t="s">
        <v>119</v>
      </c>
      <c r="M4" s="12">
        <f>_xlfn.XLOOKUP(tbl_PurchaseOrder[[#This Row],[Material Code]],tbl_MasterMaterial[Material Code],tbl_MasterMaterial[Lead Time (Days)])</f>
        <v>14</v>
      </c>
      <c r="N4" s="15">
        <f>tbl_PurchaseOrder[[#This Row],[PO Date]]+tbl_PurchaseOrder[[#This Row],[Lead Time (Days)]]</f>
        <v>46249</v>
      </c>
      <c r="O4" s="3">
        <f>SUMIFS(tbl_GoodsReceipt[Received Qty],tbl_GoodsReceipt[PO Line Key (Helper)],tbl_PurchaseOrder[[#This Row],[PO Line Key (Helper)]])</f>
        <v>40</v>
      </c>
      <c r="P4" s="3">
        <f>IFERROR(tbl_PurchaseOrder[[#This Row],[Received Qty]]-tbl_PurchaseOrder[[#This Row],[Ordered Qty]],0)</f>
        <v>0</v>
      </c>
      <c r="Q4" s="16" t="str">
        <f>IF(tbl_PurchaseOrder[[#This Row],[Received Qty]]=0,"Open",IF(tbl_PurchaseOrder[[#This Row],[Received Qty]]&lt;tbl_PurchaseOrder[[#This Row],[Ordered Qty]],"Partial", "Closed"))</f>
        <v>Closed</v>
      </c>
      <c r="R4" s="6"/>
      <c r="S4" s="39" t="str">
        <f>tbl_PurchaseOrder[[#This Row],[PO Number]]&amp;"-"&amp;tbl_PurchaseOrder[[#This Row],[PO Line]]</f>
        <v>PO-2026-0001-10</v>
      </c>
    </row>
    <row r="5" spans="1:19" x14ac:dyDescent="0.25">
      <c r="A5" s="6" t="s">
        <v>117</v>
      </c>
      <c r="B5" s="7">
        <v>20</v>
      </c>
      <c r="C5" s="8">
        <v>46235</v>
      </c>
      <c r="D5" s="6" t="s">
        <v>172</v>
      </c>
      <c r="E5" s="9" t="str">
        <f>VLOOKUP(tbl_PurchaseOrder[[#This Row],[Supplier Code]],tbl_MasterSupplier[],2,FALSE)</f>
        <v>Global Hydraulic Solutions Pte Ltd</v>
      </c>
      <c r="F5" s="6" t="s">
        <v>39</v>
      </c>
      <c r="G5" s="9" t="str">
        <f>_xlfn.XLOOKUP(tbl_PurchaseOrder[[#This Row],[Material Code]],tbl_MasterMaterial[Material Code],tbl_MasterMaterial[Material Description])</f>
        <v>Hydraulic Hose 1/2in x 3m</v>
      </c>
      <c r="H5" s="14" t="s">
        <v>17</v>
      </c>
      <c r="I5" s="11">
        <v>20</v>
      </c>
      <c r="J5" s="35">
        <v>670000</v>
      </c>
      <c r="K5" s="33">
        <f>tbl_PurchaseOrder[[#This Row],[Ordered Qty]]*J5</f>
        <v>13400000</v>
      </c>
      <c r="L5" s="14" t="s">
        <v>119</v>
      </c>
      <c r="M5" s="12">
        <f>_xlfn.XLOOKUP(tbl_PurchaseOrder[[#This Row],[Material Code]],tbl_MasterMaterial[Material Code],tbl_MasterMaterial[Lead Time (Days)])</f>
        <v>12</v>
      </c>
      <c r="N5" s="15">
        <f>tbl_PurchaseOrder[[#This Row],[PO Date]]+tbl_PurchaseOrder[[#This Row],[Lead Time (Days)]]</f>
        <v>46247</v>
      </c>
      <c r="O5" s="3">
        <f>SUMIFS(tbl_GoodsReceipt[Received Qty],tbl_GoodsReceipt[PO Line Key (Helper)],tbl_PurchaseOrder[[#This Row],[PO Line Key (Helper)]])</f>
        <v>20</v>
      </c>
      <c r="P5" s="3">
        <f>IFERROR(tbl_PurchaseOrder[[#This Row],[Received Qty]]-tbl_PurchaseOrder[[#This Row],[Ordered Qty]],0)</f>
        <v>0</v>
      </c>
      <c r="Q5" s="16" t="str">
        <f>IF(tbl_PurchaseOrder[[#This Row],[Received Qty]]=0,"Open",IF(tbl_PurchaseOrder[[#This Row],[Received Qty]]&lt;tbl_PurchaseOrder[[#This Row],[Ordered Qty]],"Partial", "Closed"))</f>
        <v>Closed</v>
      </c>
      <c r="R5" s="6"/>
      <c r="S5" s="39" t="str">
        <f>tbl_PurchaseOrder[[#This Row],[PO Number]]&amp;"-"&amp;tbl_PurchaseOrder[[#This Row],[PO Line]]</f>
        <v>PO-2026-0001-20</v>
      </c>
    </row>
    <row r="6" spans="1:19" x14ac:dyDescent="0.25">
      <c r="A6" s="6" t="s">
        <v>117</v>
      </c>
      <c r="B6" s="7">
        <v>30</v>
      </c>
      <c r="C6" s="8">
        <v>46235</v>
      </c>
      <c r="D6" s="6" t="s">
        <v>172</v>
      </c>
      <c r="E6" s="9" t="str">
        <f>VLOOKUP(tbl_PurchaseOrder[[#This Row],[Supplier Code]],tbl_MasterSupplier[],2,FALSE)</f>
        <v>Global Hydraulic Solutions Pte Ltd</v>
      </c>
      <c r="F6" s="6" t="s">
        <v>62</v>
      </c>
      <c r="G6" s="9" t="str">
        <f>_xlfn.XLOOKUP(tbl_PurchaseOrder[[#This Row],[Material Code]],tbl_MasterMaterial[Material Code],tbl_MasterMaterial[Material Description])</f>
        <v>Bearing 6205-2RS</v>
      </c>
      <c r="H6" s="14" t="s">
        <v>17</v>
      </c>
      <c r="I6" s="11">
        <v>100</v>
      </c>
      <c r="J6" s="35">
        <v>72000</v>
      </c>
      <c r="K6" s="33">
        <f>tbl_PurchaseOrder[[#This Row],[Ordered Qty]]*J6</f>
        <v>7200000</v>
      </c>
      <c r="L6" s="14" t="s">
        <v>19</v>
      </c>
      <c r="M6" s="12">
        <f>_xlfn.XLOOKUP(tbl_PurchaseOrder[[#This Row],[Material Code]],tbl_MasterMaterial[Material Code],tbl_MasterMaterial[Lead Time (Days)])</f>
        <v>9</v>
      </c>
      <c r="N6" s="15">
        <f>tbl_PurchaseOrder[[#This Row],[PO Date]]+tbl_PurchaseOrder[[#This Row],[Lead Time (Days)]]</f>
        <v>46244</v>
      </c>
      <c r="O6" s="3">
        <f>SUMIFS(tbl_GoodsReceipt[Received Qty],tbl_GoodsReceipt[PO Line Key (Helper)],tbl_PurchaseOrder[[#This Row],[PO Line Key (Helper)]])</f>
        <v>100</v>
      </c>
      <c r="P6" s="3">
        <f>IFERROR(tbl_PurchaseOrder[[#This Row],[Received Qty]]-tbl_PurchaseOrder[[#This Row],[Ordered Qty]],0)</f>
        <v>0</v>
      </c>
      <c r="Q6" s="16" t="str">
        <f>IF(tbl_PurchaseOrder[[#This Row],[Received Qty]]=0,"Open",IF(tbl_PurchaseOrder[[#This Row],[Received Qty]]&lt;tbl_PurchaseOrder[[#This Row],[Ordered Qty]],"Partial", "Closed"))</f>
        <v>Closed</v>
      </c>
      <c r="R6" s="6"/>
      <c r="S6" s="39" t="str">
        <f>tbl_PurchaseOrder[[#This Row],[PO Number]]&amp;"-"&amp;tbl_PurchaseOrder[[#This Row],[PO Line]]</f>
        <v>PO-2026-0001-30</v>
      </c>
    </row>
    <row r="7" spans="1:19" x14ac:dyDescent="0.25">
      <c r="A7" s="6" t="s">
        <v>118</v>
      </c>
      <c r="B7" s="7">
        <v>10</v>
      </c>
      <c r="C7" s="8">
        <v>46237</v>
      </c>
      <c r="D7" s="6" t="s">
        <v>23</v>
      </c>
      <c r="E7" s="9" t="str">
        <f>VLOOKUP(tbl_PurchaseOrder[[#This Row],[Supplier Code]],tbl_MasterSupplier[],2,FALSE)</f>
        <v>Global Engine Components Pte Ltd</v>
      </c>
      <c r="F7" s="6" t="s">
        <v>25</v>
      </c>
      <c r="G7" s="9" t="str">
        <f>_xlfn.XLOOKUP(tbl_PurchaseOrder[[#This Row],[Material Code]],tbl_MasterMaterial[Material Code],tbl_MasterMaterial[Material Description])</f>
        <v>Engine Oil Filter (Cat 320D)</v>
      </c>
      <c r="H7" s="14" t="s">
        <v>17</v>
      </c>
      <c r="I7" s="11">
        <v>60</v>
      </c>
      <c r="J7" s="35">
        <v>245000</v>
      </c>
      <c r="K7" s="33">
        <f>tbl_PurchaseOrder[[#This Row],[Ordered Qty]]*J7</f>
        <v>14700000</v>
      </c>
      <c r="L7" s="14" t="s">
        <v>19</v>
      </c>
      <c r="M7" s="12">
        <f>_xlfn.XLOOKUP(tbl_PurchaseOrder[[#This Row],[Material Code]],tbl_MasterMaterial[Material Code],tbl_MasterMaterial[Lead Time (Days)])</f>
        <v>7</v>
      </c>
      <c r="N7" s="15">
        <f>tbl_PurchaseOrder[[#This Row],[PO Date]]+tbl_PurchaseOrder[[#This Row],[Lead Time (Days)]]</f>
        <v>46244</v>
      </c>
      <c r="O7" s="3">
        <f>SUMIFS(tbl_GoodsReceipt[Received Qty],tbl_GoodsReceipt[PO Line Key (Helper)],tbl_PurchaseOrder[[#This Row],[PO Line Key (Helper)]])</f>
        <v>40</v>
      </c>
      <c r="P7" s="3">
        <f>IFERROR(tbl_PurchaseOrder[[#This Row],[Received Qty]]-tbl_PurchaseOrder[[#This Row],[Ordered Qty]],0)</f>
        <v>-20</v>
      </c>
      <c r="Q7" s="16" t="str">
        <f>IF(tbl_PurchaseOrder[[#This Row],[Received Qty]]=0,"Open",IF(tbl_PurchaseOrder[[#This Row],[Received Qty]]&lt;tbl_PurchaseOrder[[#This Row],[Ordered Qty]],"Partial", "Closed"))</f>
        <v>Partial</v>
      </c>
      <c r="R7" s="6" t="s">
        <v>230</v>
      </c>
      <c r="S7" s="39" t="str">
        <f>tbl_PurchaseOrder[[#This Row],[PO Number]]&amp;"-"&amp;tbl_PurchaseOrder[[#This Row],[PO Line]]</f>
        <v>PO-2026-0002-10</v>
      </c>
    </row>
    <row r="8" spans="1:19" x14ac:dyDescent="0.25">
      <c r="A8" s="6" t="s">
        <v>118</v>
      </c>
      <c r="B8" s="7">
        <v>20</v>
      </c>
      <c r="C8" s="8">
        <v>46237</v>
      </c>
      <c r="D8" s="6" t="s">
        <v>23</v>
      </c>
      <c r="E8" s="9" t="str">
        <f>VLOOKUP(tbl_PurchaseOrder[[#This Row],[Supplier Code]],tbl_MasterSupplier[],2,FALSE)</f>
        <v>Global Engine Components Pte Ltd</v>
      </c>
      <c r="F8" s="6" t="s">
        <v>37</v>
      </c>
      <c r="G8" s="9" t="str">
        <f>_xlfn.XLOOKUP(tbl_PurchaseOrder[[#This Row],[Material Code]],tbl_MasterMaterial[Material Code],tbl_MasterMaterial[Material Description])</f>
        <v>Air Filter Element - Primary</v>
      </c>
      <c r="H8" s="14" t="s">
        <v>17</v>
      </c>
      <c r="I8" s="11">
        <v>40</v>
      </c>
      <c r="J8" s="35">
        <v>410000</v>
      </c>
      <c r="K8" s="33">
        <f>tbl_PurchaseOrder[[#This Row],[Ordered Qty]]*J8</f>
        <v>16400000</v>
      </c>
      <c r="L8" s="14" t="s">
        <v>19</v>
      </c>
      <c r="M8" s="12">
        <f>_xlfn.XLOOKUP(tbl_PurchaseOrder[[#This Row],[Material Code]],tbl_MasterMaterial[Material Code],tbl_MasterMaterial[Lead Time (Days)])</f>
        <v>10</v>
      </c>
      <c r="N8" s="15">
        <f>tbl_PurchaseOrder[[#This Row],[PO Date]]+tbl_PurchaseOrder[[#This Row],[Lead Time (Days)]]</f>
        <v>46247</v>
      </c>
      <c r="O8" s="3">
        <f>SUMIFS(tbl_GoodsReceipt[Received Qty],tbl_GoodsReceipt[PO Line Key (Helper)],tbl_PurchaseOrder[[#This Row],[PO Line Key (Helper)]])</f>
        <v>20</v>
      </c>
      <c r="P8" s="3">
        <f>IFERROR(tbl_PurchaseOrder[[#This Row],[Received Qty]]-tbl_PurchaseOrder[[#This Row],[Ordered Qty]],0)</f>
        <v>-20</v>
      </c>
      <c r="Q8" s="16" t="str">
        <f>IF(tbl_PurchaseOrder[[#This Row],[Received Qty]]=0,"Open",IF(tbl_PurchaseOrder[[#This Row],[Received Qty]]&lt;tbl_PurchaseOrder[[#This Row],[Ordered Qty]],"Partial", "Closed"))</f>
        <v>Partial</v>
      </c>
      <c r="R8" s="6"/>
      <c r="S8" s="39" t="str">
        <f>tbl_PurchaseOrder[[#This Row],[PO Number]]&amp;"-"&amp;tbl_PurchaseOrder[[#This Row],[PO Line]]</f>
        <v>PO-2026-0002-20</v>
      </c>
    </row>
    <row r="9" spans="1:19" x14ac:dyDescent="0.25">
      <c r="A9" s="6" t="s">
        <v>118</v>
      </c>
      <c r="B9" s="7">
        <v>30</v>
      </c>
      <c r="C9" s="8">
        <v>46237</v>
      </c>
      <c r="D9" s="6" t="s">
        <v>23</v>
      </c>
      <c r="E9" s="9" t="str">
        <f>VLOOKUP(tbl_PurchaseOrder[[#This Row],[Supplier Code]],tbl_MasterSupplier[],2,FALSE)</f>
        <v>Global Engine Components Pte Ltd</v>
      </c>
      <c r="F9" s="6" t="s">
        <v>56</v>
      </c>
      <c r="G9" s="9" t="str">
        <f>_xlfn.XLOOKUP(tbl_PurchaseOrder[[#This Row],[Material Code]],tbl_MasterMaterial[Material Code],tbl_MasterMaterial[Material Description])</f>
        <v>V-Belt A-Section 1250mm</v>
      </c>
      <c r="H9" s="14" t="s">
        <v>17</v>
      </c>
      <c r="I9" s="11">
        <v>30</v>
      </c>
      <c r="J9" s="35">
        <v>180000</v>
      </c>
      <c r="K9" s="33">
        <f>tbl_PurchaseOrder[[#This Row],[Ordered Qty]]*J9</f>
        <v>5400000</v>
      </c>
      <c r="L9" s="14" t="s">
        <v>19</v>
      </c>
      <c r="M9" s="12">
        <f>_xlfn.XLOOKUP(tbl_PurchaseOrder[[#This Row],[Material Code]],tbl_MasterMaterial[Material Code],tbl_MasterMaterial[Lead Time (Days)])</f>
        <v>8</v>
      </c>
      <c r="N9" s="15">
        <f>tbl_PurchaseOrder[[#This Row],[PO Date]]+tbl_PurchaseOrder[[#This Row],[Lead Time (Days)]]</f>
        <v>46245</v>
      </c>
      <c r="O9" s="3">
        <f>SUMIFS(tbl_GoodsReceipt[Received Qty],tbl_GoodsReceipt[PO Line Key (Helper)],tbl_PurchaseOrder[[#This Row],[PO Line Key (Helper)]])</f>
        <v>0</v>
      </c>
      <c r="P9" s="3">
        <f>IFERROR(tbl_PurchaseOrder[[#This Row],[Received Qty]]-tbl_PurchaseOrder[[#This Row],[Ordered Qty]],0)</f>
        <v>-30</v>
      </c>
      <c r="Q9" s="16" t="str">
        <f>IF(tbl_PurchaseOrder[[#This Row],[Received Qty]]=0,"Open",IF(tbl_PurchaseOrder[[#This Row],[Received Qty]]&lt;tbl_PurchaseOrder[[#This Row],[Ordered Qty]],"Partial", "Closed"))</f>
        <v>Open</v>
      </c>
      <c r="R9" s="6"/>
      <c r="S9" s="39" t="str">
        <f>tbl_PurchaseOrder[[#This Row],[PO Number]]&amp;"-"&amp;tbl_PurchaseOrder[[#This Row],[PO Line]]</f>
        <v>PO-2026-0002-30</v>
      </c>
    </row>
    <row r="10" spans="1:19" x14ac:dyDescent="0.25">
      <c r="A10" s="6" t="s">
        <v>120</v>
      </c>
      <c r="B10" s="7">
        <v>10</v>
      </c>
      <c r="C10" s="8">
        <v>46239</v>
      </c>
      <c r="D10" s="6" t="s">
        <v>169</v>
      </c>
      <c r="E10" s="9" t="str">
        <f>VLOOKUP(tbl_PurchaseOrder[[#This Row],[Supplier Code]],tbl_MasterSupplier[],2,FALSE)</f>
        <v>PT Heavy Equipment Parts Indonesia</v>
      </c>
      <c r="F10" s="6" t="s">
        <v>36</v>
      </c>
      <c r="G10" s="9" t="str">
        <f>_xlfn.XLOOKUP(tbl_PurchaseOrder[[#This Row],[Material Code]],tbl_MasterMaterial[Material Code],tbl_MasterMaterial[Material Description])</f>
        <v>Track Roller Assembly</v>
      </c>
      <c r="H10" s="14" t="s">
        <v>17</v>
      </c>
      <c r="I10" s="11">
        <v>8</v>
      </c>
      <c r="J10" s="35">
        <v>6700000</v>
      </c>
      <c r="K10" s="33">
        <f>tbl_PurchaseOrder[[#This Row],[Ordered Qty]]*J10</f>
        <v>53600000</v>
      </c>
      <c r="L10" s="14" t="s">
        <v>19</v>
      </c>
      <c r="M10" s="12">
        <f>_xlfn.XLOOKUP(tbl_PurchaseOrder[[#This Row],[Material Code]],tbl_MasterMaterial[Material Code],tbl_MasterMaterial[Lead Time (Days)])</f>
        <v>30</v>
      </c>
      <c r="N10" s="15">
        <f>tbl_PurchaseOrder[[#This Row],[PO Date]]+tbl_PurchaseOrder[[#This Row],[Lead Time (Days)]]</f>
        <v>46269</v>
      </c>
      <c r="O10" s="3">
        <f>SUMIFS(tbl_GoodsReceipt[Received Qty],tbl_GoodsReceipt[PO Line Key (Helper)],tbl_PurchaseOrder[[#This Row],[PO Line Key (Helper)]])</f>
        <v>0</v>
      </c>
      <c r="P10" s="3">
        <f>IFERROR(tbl_PurchaseOrder[[#This Row],[Received Qty]]-tbl_PurchaseOrder[[#This Row],[Ordered Qty]],0)</f>
        <v>-8</v>
      </c>
      <c r="Q10" s="16" t="str">
        <f>IF(tbl_PurchaseOrder[[#This Row],[Received Qty]]=0,"Open",IF(tbl_PurchaseOrder[[#This Row],[Received Qty]]&lt;tbl_PurchaseOrder[[#This Row],[Ordered Qty]],"Partial", "Closed"))</f>
        <v>Open</v>
      </c>
      <c r="R10" s="6"/>
      <c r="S10" s="39" t="str">
        <f>tbl_PurchaseOrder[[#This Row],[PO Number]]&amp;"-"&amp;tbl_PurchaseOrder[[#This Row],[PO Line]]</f>
        <v>PO-2026-0003-10</v>
      </c>
    </row>
    <row r="11" spans="1:19" x14ac:dyDescent="0.25">
      <c r="A11" s="6" t="s">
        <v>120</v>
      </c>
      <c r="B11" s="7">
        <v>20</v>
      </c>
      <c r="C11" s="8">
        <v>46239</v>
      </c>
      <c r="D11" s="6" t="s">
        <v>169</v>
      </c>
      <c r="E11" s="9" t="str">
        <f>VLOOKUP(tbl_PurchaseOrder[[#This Row],[Supplier Code]],tbl_MasterSupplier[],2,FALSE)</f>
        <v>PT Heavy Equipment Parts Indonesia</v>
      </c>
      <c r="F11" s="6" t="s">
        <v>46</v>
      </c>
      <c r="G11" s="9" t="str">
        <f>_xlfn.XLOOKUP(tbl_PurchaseOrder[[#This Row],[Material Code]],tbl_MasterMaterial[Material Code],tbl_MasterMaterial[Material Description])</f>
        <v>Final Drive Motor (Excavator PC200)</v>
      </c>
      <c r="H11" s="14" t="s">
        <v>17</v>
      </c>
      <c r="I11" s="11">
        <v>2</v>
      </c>
      <c r="J11" s="35">
        <v>28200000</v>
      </c>
      <c r="K11" s="33">
        <f>tbl_PurchaseOrder[[#This Row],[Ordered Qty]]*J11</f>
        <v>56400000</v>
      </c>
      <c r="L11" s="14" t="s">
        <v>119</v>
      </c>
      <c r="M11" s="12">
        <f>_xlfn.XLOOKUP(tbl_PurchaseOrder[[#This Row],[Material Code]],tbl_MasterMaterial[Material Code],tbl_MasterMaterial[Lead Time (Days)])</f>
        <v>45</v>
      </c>
      <c r="N11" s="15">
        <f>tbl_PurchaseOrder[[#This Row],[PO Date]]+tbl_PurchaseOrder[[#This Row],[Lead Time (Days)]]</f>
        <v>46284</v>
      </c>
      <c r="O11" s="3">
        <f>SUMIFS(tbl_GoodsReceipt[Received Qty],tbl_GoodsReceipt[PO Line Key (Helper)],tbl_PurchaseOrder[[#This Row],[PO Line Key (Helper)]])</f>
        <v>0</v>
      </c>
      <c r="P11" s="3">
        <f>IFERROR(tbl_PurchaseOrder[[#This Row],[Received Qty]]-tbl_PurchaseOrder[[#This Row],[Ordered Qty]],0)</f>
        <v>-2</v>
      </c>
      <c r="Q11" s="16" t="str">
        <f>IF(tbl_PurchaseOrder[[#This Row],[Received Qty]]=0,"Open",IF(tbl_PurchaseOrder[[#This Row],[Received Qty]]&lt;tbl_PurchaseOrder[[#This Row],[Ordered Qty]],"Partial", "Closed"))</f>
        <v>Open</v>
      </c>
      <c r="R11" s="6" t="s">
        <v>231</v>
      </c>
      <c r="S11" s="39" t="str">
        <f>tbl_PurchaseOrder[[#This Row],[PO Number]]&amp;"-"&amp;tbl_PurchaseOrder[[#This Row],[PO Line]]</f>
        <v>PO-2026-0003-20</v>
      </c>
    </row>
    <row r="12" spans="1:19" x14ac:dyDescent="0.25">
      <c r="A12" s="6" t="s">
        <v>120</v>
      </c>
      <c r="B12" s="7">
        <v>30</v>
      </c>
      <c r="C12" s="8">
        <v>46239</v>
      </c>
      <c r="D12" s="6" t="s">
        <v>169</v>
      </c>
      <c r="E12" s="9" t="str">
        <f>VLOOKUP(tbl_PurchaseOrder[[#This Row],[Supplier Code]],tbl_MasterSupplier[],2,FALSE)</f>
        <v>PT Heavy Equipment Parts Indonesia</v>
      </c>
      <c r="F12" s="6" t="s">
        <v>54</v>
      </c>
      <c r="G12" s="9" t="str">
        <f>_xlfn.XLOOKUP(tbl_PurchaseOrder[[#This Row],[Material Code]],tbl_MasterMaterial[Material Code],tbl_MasterMaterial[Material Description])</f>
        <v>Turbocharger Assembly (Cat C15)</v>
      </c>
      <c r="H12" s="14" t="s">
        <v>17</v>
      </c>
      <c r="I12" s="11">
        <v>2</v>
      </c>
      <c r="J12" s="35">
        <v>15300000</v>
      </c>
      <c r="K12" s="33">
        <f>tbl_PurchaseOrder[[#This Row],[Ordered Qty]]*J12</f>
        <v>30600000</v>
      </c>
      <c r="L12" s="14" t="s">
        <v>19</v>
      </c>
      <c r="M12" s="12">
        <f>_xlfn.XLOOKUP(tbl_PurchaseOrder[[#This Row],[Material Code]],tbl_MasterMaterial[Material Code],tbl_MasterMaterial[Lead Time (Days)])</f>
        <v>35</v>
      </c>
      <c r="N12" s="15">
        <f>tbl_PurchaseOrder[[#This Row],[PO Date]]+tbl_PurchaseOrder[[#This Row],[Lead Time (Days)]]</f>
        <v>46274</v>
      </c>
      <c r="O12" s="3">
        <f>SUMIFS(tbl_GoodsReceipt[Received Qty],tbl_GoodsReceipt[PO Line Key (Helper)],tbl_PurchaseOrder[[#This Row],[PO Line Key (Helper)]])</f>
        <v>0</v>
      </c>
      <c r="P12" s="3">
        <f>IFERROR(tbl_PurchaseOrder[[#This Row],[Received Qty]]-tbl_PurchaseOrder[[#This Row],[Ordered Qty]],0)</f>
        <v>-2</v>
      </c>
      <c r="Q12" s="16" t="str">
        <f>IF(tbl_PurchaseOrder[[#This Row],[Received Qty]]=0,"Open",IF(tbl_PurchaseOrder[[#This Row],[Received Qty]]&lt;tbl_PurchaseOrder[[#This Row],[Ordered Qty]],"Partial", "Closed"))</f>
        <v>Open</v>
      </c>
      <c r="R12" s="6"/>
      <c r="S12" s="39" t="str">
        <f>tbl_PurchaseOrder[[#This Row],[PO Number]]&amp;"-"&amp;tbl_PurchaseOrder[[#This Row],[PO Line]]</f>
        <v>PO-2026-0003-30</v>
      </c>
    </row>
    <row r="13" spans="1:19" x14ac:dyDescent="0.25">
      <c r="A13" s="6" t="s">
        <v>121</v>
      </c>
      <c r="B13" s="7">
        <v>10</v>
      </c>
      <c r="C13" s="8">
        <v>46241</v>
      </c>
      <c r="D13" s="6" t="s">
        <v>30</v>
      </c>
      <c r="E13" s="9" t="str">
        <f>VLOOKUP(tbl_PurchaseOrder[[#This Row],[Supplier Code]],tbl_MasterSupplier[],2,FALSE)</f>
        <v>PT Multi Industrial Trading</v>
      </c>
      <c r="F13" s="6" t="s">
        <v>21</v>
      </c>
      <c r="G13" s="9" t="str">
        <f>_xlfn.XLOOKUP(tbl_PurchaseOrder[[#This Row],[Material Code]],tbl_MasterMaterial[Material Code],tbl_MasterMaterial[Material Description])</f>
        <v>Steel Plate 10mm x 2m x 1m</v>
      </c>
      <c r="H13" s="14" t="s">
        <v>17</v>
      </c>
      <c r="I13" s="11">
        <v>20</v>
      </c>
      <c r="J13" s="35">
        <v>4150000</v>
      </c>
      <c r="K13" s="33">
        <f>tbl_PurchaseOrder[[#This Row],[Ordered Qty]]*J13</f>
        <v>83000000</v>
      </c>
      <c r="L13" s="14" t="s">
        <v>19</v>
      </c>
      <c r="M13" s="12">
        <f>_xlfn.XLOOKUP(tbl_PurchaseOrder[[#This Row],[Material Code]],tbl_MasterMaterial[Material Code],tbl_MasterMaterial[Lead Time (Days)])</f>
        <v>21</v>
      </c>
      <c r="N13" s="15">
        <f>tbl_PurchaseOrder[[#This Row],[PO Date]]+tbl_PurchaseOrder[[#This Row],[Lead Time (Days)]]</f>
        <v>46262</v>
      </c>
      <c r="O13" s="3">
        <f>SUMIFS(tbl_GoodsReceipt[Received Qty],tbl_GoodsReceipt[PO Line Key (Helper)],tbl_PurchaseOrder[[#This Row],[PO Line Key (Helper)]])</f>
        <v>20</v>
      </c>
      <c r="P13" s="3">
        <f>IFERROR(tbl_PurchaseOrder[[#This Row],[Received Qty]]-tbl_PurchaseOrder[[#This Row],[Ordered Qty]],0)</f>
        <v>0</v>
      </c>
      <c r="Q13" s="16" t="str">
        <f>IF(tbl_PurchaseOrder[[#This Row],[Received Qty]]=0,"Open",IF(tbl_PurchaseOrder[[#This Row],[Received Qty]]&lt;tbl_PurchaseOrder[[#This Row],[Ordered Qty]],"Partial", "Closed"))</f>
        <v>Closed</v>
      </c>
      <c r="R13" s="6"/>
      <c r="S13" s="39" t="str">
        <f>tbl_PurchaseOrder[[#This Row],[PO Number]]&amp;"-"&amp;tbl_PurchaseOrder[[#This Row],[PO Line]]</f>
        <v>PO-2026-0004-10</v>
      </c>
    </row>
    <row r="14" spans="1:19" x14ac:dyDescent="0.25">
      <c r="A14" s="6" t="s">
        <v>121</v>
      </c>
      <c r="B14" s="7">
        <v>20</v>
      </c>
      <c r="C14" s="8">
        <v>46241</v>
      </c>
      <c r="D14" s="6" t="s">
        <v>30</v>
      </c>
      <c r="E14" s="9" t="str">
        <f>VLOOKUP(tbl_PurchaseOrder[[#This Row],[Supplier Code]],tbl_MasterSupplier[],2,FALSE)</f>
        <v>PT Multi Industrial Trading</v>
      </c>
      <c r="F14" s="6" t="s">
        <v>27</v>
      </c>
      <c r="G14" s="9" t="str">
        <f>_xlfn.XLOOKUP(tbl_PurchaseOrder[[#This Row],[Material Code]],tbl_MasterMaterial[Material Code],tbl_MasterMaterial[Material Description])</f>
        <v>Hex Bolt M12x50 Grade 8.8</v>
      </c>
      <c r="H14" s="14" t="s">
        <v>17</v>
      </c>
      <c r="I14" s="11">
        <v>2500</v>
      </c>
      <c r="J14" s="35">
        <v>7900</v>
      </c>
      <c r="K14" s="33">
        <f>tbl_PurchaseOrder[[#This Row],[Ordered Qty]]*J14</f>
        <v>19750000</v>
      </c>
      <c r="L14" s="14" t="s">
        <v>19</v>
      </c>
      <c r="M14" s="12">
        <f>_xlfn.XLOOKUP(tbl_PurchaseOrder[[#This Row],[Material Code]],tbl_MasterMaterial[Material Code],tbl_MasterMaterial[Lead Time (Days)])</f>
        <v>10</v>
      </c>
      <c r="N14" s="15">
        <f>tbl_PurchaseOrder[[#This Row],[PO Date]]+tbl_PurchaseOrder[[#This Row],[Lead Time (Days)]]</f>
        <v>46251</v>
      </c>
      <c r="O14" s="3">
        <f>SUMIFS(tbl_GoodsReceipt[Received Qty],tbl_GoodsReceipt[PO Line Key (Helper)],tbl_PurchaseOrder[[#This Row],[PO Line Key (Helper)]])</f>
        <v>2500</v>
      </c>
      <c r="P14" s="3">
        <f>IFERROR(tbl_PurchaseOrder[[#This Row],[Received Qty]]-tbl_PurchaseOrder[[#This Row],[Ordered Qty]],0)</f>
        <v>0</v>
      </c>
      <c r="Q14" s="16" t="str">
        <f>IF(tbl_PurchaseOrder[[#This Row],[Received Qty]]=0,"Open",IF(tbl_PurchaseOrder[[#This Row],[Received Qty]]&lt;tbl_PurchaseOrder[[#This Row],[Ordered Qty]],"Partial", "Closed"))</f>
        <v>Closed</v>
      </c>
      <c r="R14" s="6"/>
      <c r="S14" s="39" t="str">
        <f>tbl_PurchaseOrder[[#This Row],[PO Number]]&amp;"-"&amp;tbl_PurchaseOrder[[#This Row],[PO Line]]</f>
        <v>PO-2026-0004-20</v>
      </c>
    </row>
    <row r="15" spans="1:19" x14ac:dyDescent="0.25">
      <c r="A15" s="6" t="s">
        <v>122</v>
      </c>
      <c r="B15" s="7">
        <v>10</v>
      </c>
      <c r="C15" s="8">
        <v>46243</v>
      </c>
      <c r="D15" s="6" t="s">
        <v>88</v>
      </c>
      <c r="E15" s="9" t="str">
        <f>VLOOKUP(tbl_PurchaseOrder[[#This Row],[Supplier Code]],tbl_MasterSupplier[],2,FALSE)</f>
        <v>PT Precision Fastener Indonesia</v>
      </c>
      <c r="F15" s="6" t="s">
        <v>52</v>
      </c>
      <c r="G15" s="9" t="str">
        <f>_xlfn.XLOOKUP(tbl_PurchaseOrder[[#This Row],[Material Code]],tbl_MasterMaterial[Material Code],tbl_MasterMaterial[Material Description])</f>
        <v>Flat Washer M12 Zinc Plated</v>
      </c>
      <c r="H15" s="14" t="s">
        <v>17</v>
      </c>
      <c r="I15" s="11">
        <v>5000</v>
      </c>
      <c r="J15" s="35">
        <v>1950</v>
      </c>
      <c r="K15" s="33">
        <f>tbl_PurchaseOrder[[#This Row],[Ordered Qty]]*J15</f>
        <v>9750000</v>
      </c>
      <c r="L15" s="14" t="s">
        <v>19</v>
      </c>
      <c r="M15" s="12">
        <f>_xlfn.XLOOKUP(tbl_PurchaseOrder[[#This Row],[Material Code]],tbl_MasterMaterial[Material Code],tbl_MasterMaterial[Lead Time (Days)])</f>
        <v>10</v>
      </c>
      <c r="N15" s="15">
        <f>tbl_PurchaseOrder[[#This Row],[PO Date]]+tbl_PurchaseOrder[[#This Row],[Lead Time (Days)]]</f>
        <v>46253</v>
      </c>
      <c r="O15" s="3">
        <f>SUMIFS(tbl_GoodsReceipt[Received Qty],tbl_GoodsReceipt[PO Line Key (Helper)],tbl_PurchaseOrder[[#This Row],[PO Line Key (Helper)]])</f>
        <v>5000</v>
      </c>
      <c r="P15" s="3">
        <f>IFERROR(tbl_PurchaseOrder[[#This Row],[Received Qty]]-tbl_PurchaseOrder[[#This Row],[Ordered Qty]],0)</f>
        <v>0</v>
      </c>
      <c r="Q15" s="16" t="str">
        <f>IF(tbl_PurchaseOrder[[#This Row],[Received Qty]]=0,"Open",IF(tbl_PurchaseOrder[[#This Row],[Received Qty]]&lt;tbl_PurchaseOrder[[#This Row],[Ordered Qty]],"Partial", "Closed"))</f>
        <v>Closed</v>
      </c>
      <c r="R15" s="6"/>
      <c r="S15" s="39" t="str">
        <f>tbl_PurchaseOrder[[#This Row],[PO Number]]&amp;"-"&amp;tbl_PurchaseOrder[[#This Row],[PO Line]]</f>
        <v>PO-2026-0005-10</v>
      </c>
    </row>
    <row r="16" spans="1:19" x14ac:dyDescent="0.25">
      <c r="A16" s="6" t="s">
        <v>224</v>
      </c>
      <c r="B16" s="7">
        <v>10</v>
      </c>
      <c r="C16" s="8">
        <v>46244</v>
      </c>
      <c r="D16" s="6" t="s">
        <v>170</v>
      </c>
      <c r="E16" s="9" t="str">
        <f>VLOOKUP(tbl_PurchaseOrder[[#This Row],[Supplier Code]],tbl_MasterSupplier[],2,FALSE)</f>
        <v>PT Industrial Lubricants Indonesia</v>
      </c>
      <c r="F16" s="6" t="s">
        <v>41</v>
      </c>
      <c r="G16" s="9" t="str">
        <f>_xlfn.XLOOKUP(tbl_PurchaseOrder[[#This Row],[Material Code]],tbl_MasterMaterial[Material Code],tbl_MasterMaterial[Material Description])</f>
        <v>Grease Cartridge NLGI2 400g</v>
      </c>
      <c r="H16" s="14" t="s">
        <v>17</v>
      </c>
      <c r="I16" s="11">
        <v>150</v>
      </c>
      <c r="J16" s="35">
        <v>92000</v>
      </c>
      <c r="K16" s="33">
        <f>tbl_PurchaseOrder[[#This Row],[Ordered Qty]]*J16</f>
        <v>13800000</v>
      </c>
      <c r="L16" s="14" t="s">
        <v>19</v>
      </c>
      <c r="M16" s="12">
        <f>_xlfn.XLOOKUP(tbl_PurchaseOrder[[#This Row],[Material Code]],tbl_MasterMaterial[Material Code],tbl_MasterMaterial[Lead Time (Days)])</f>
        <v>5</v>
      </c>
      <c r="N16" s="15">
        <f>tbl_PurchaseOrder[[#This Row],[PO Date]]+tbl_PurchaseOrder[[#This Row],[Lead Time (Days)]]</f>
        <v>46249</v>
      </c>
      <c r="O16" s="3">
        <f>SUMIFS(tbl_GoodsReceipt[Received Qty],tbl_GoodsReceipt[PO Line Key (Helper)],tbl_PurchaseOrder[[#This Row],[PO Line Key (Helper)]])</f>
        <v>150</v>
      </c>
      <c r="P16" s="3">
        <f>IFERROR(tbl_PurchaseOrder[[#This Row],[Received Qty]]-tbl_PurchaseOrder[[#This Row],[Ordered Qty]],0)</f>
        <v>0</v>
      </c>
      <c r="Q16" s="16" t="str">
        <f>IF(tbl_PurchaseOrder[[#This Row],[Received Qty]]=0,"Open",IF(tbl_PurchaseOrder[[#This Row],[Received Qty]]&lt;tbl_PurchaseOrder[[#This Row],[Ordered Qty]],"Partial", "Closed"))</f>
        <v>Closed</v>
      </c>
      <c r="R16" s="6"/>
      <c r="S16" s="39" t="str">
        <f>tbl_PurchaseOrder[[#This Row],[PO Number]]&amp;"-"&amp;tbl_PurchaseOrder[[#This Row],[PO Line]]</f>
        <v>PO-2026-0006-10</v>
      </c>
    </row>
    <row r="17" spans="1:19" x14ac:dyDescent="0.25">
      <c r="A17" s="6" t="s">
        <v>224</v>
      </c>
      <c r="B17" s="7">
        <v>20</v>
      </c>
      <c r="C17" s="8">
        <v>46244</v>
      </c>
      <c r="D17" s="6" t="s">
        <v>170</v>
      </c>
      <c r="E17" s="9" t="str">
        <f>VLOOKUP(tbl_PurchaseOrder[[#This Row],[Supplier Code]],tbl_MasterSupplier[],2,FALSE)</f>
        <v>PT Industrial Lubricants Indonesia</v>
      </c>
      <c r="F17" s="6" t="s">
        <v>50</v>
      </c>
      <c r="G17" s="9" t="str">
        <f>_xlfn.XLOOKUP(tbl_PurchaseOrder[[#This Row],[Material Code]],tbl_MasterMaterial[Material Code],tbl_MasterMaterial[Material Description])</f>
        <v>Radiator Coolant 20L</v>
      </c>
      <c r="H17" s="14" t="s">
        <v>34</v>
      </c>
      <c r="I17" s="11">
        <v>80</v>
      </c>
      <c r="J17" s="35">
        <v>770000</v>
      </c>
      <c r="K17" s="33">
        <f>tbl_PurchaseOrder[[#This Row],[Ordered Qty]]*J17</f>
        <v>61600000</v>
      </c>
      <c r="L17" s="14" t="s">
        <v>19</v>
      </c>
      <c r="M17" s="12">
        <f>_xlfn.XLOOKUP(tbl_PurchaseOrder[[#This Row],[Material Code]],tbl_MasterMaterial[Material Code],tbl_MasterMaterial[Lead Time (Days)])</f>
        <v>5</v>
      </c>
      <c r="N17" s="15">
        <f>tbl_PurchaseOrder[[#This Row],[PO Date]]+tbl_PurchaseOrder[[#This Row],[Lead Time (Days)]]</f>
        <v>46249</v>
      </c>
      <c r="O17" s="3">
        <f>SUMIFS(tbl_GoodsReceipt[Received Qty],tbl_GoodsReceipt[PO Line Key (Helper)],tbl_PurchaseOrder[[#This Row],[PO Line Key (Helper)]])</f>
        <v>80</v>
      </c>
      <c r="P17" s="3">
        <f>IFERROR(tbl_PurchaseOrder[[#This Row],[Received Qty]]-tbl_PurchaseOrder[[#This Row],[Ordered Qty]],0)</f>
        <v>0</v>
      </c>
      <c r="Q17" s="16" t="str">
        <f>IF(tbl_PurchaseOrder[[#This Row],[Received Qty]]=0,"Open",IF(tbl_PurchaseOrder[[#This Row],[Received Qty]]&lt;tbl_PurchaseOrder[[#This Row],[Ordered Qty]],"Partial", "Closed"))</f>
        <v>Closed</v>
      </c>
      <c r="R17" s="6"/>
      <c r="S17" s="39" t="str">
        <f>tbl_PurchaseOrder[[#This Row],[PO Number]]&amp;"-"&amp;tbl_PurchaseOrder[[#This Row],[PO Line]]</f>
        <v>PO-2026-0006-20</v>
      </c>
    </row>
    <row r="18" spans="1:19" x14ac:dyDescent="0.25">
      <c r="A18" s="6" t="s">
        <v>225</v>
      </c>
      <c r="B18" s="7">
        <v>10</v>
      </c>
      <c r="C18" s="8">
        <v>46246</v>
      </c>
      <c r="D18" s="6" t="s">
        <v>173</v>
      </c>
      <c r="E18" s="9" t="str">
        <f>VLOOKUP(tbl_PurchaseOrder[[#This Row],[Supplier Code]],tbl_MasterSupplier[],2,FALSE)</f>
        <v>PT Industrial Consumables Indonesia</v>
      </c>
      <c r="F18" s="6" t="s">
        <v>31</v>
      </c>
      <c r="G18" s="9" t="str">
        <f>_xlfn.XLOOKUP(tbl_PurchaseOrder[[#This Row],[Material Code]],tbl_MasterMaterial[Material Code],tbl_MasterMaterial[Material Description])</f>
        <v>Industrial Degreaser 20L</v>
      </c>
      <c r="H18" s="14" t="s">
        <v>34</v>
      </c>
      <c r="I18" s="11">
        <v>30</v>
      </c>
      <c r="J18" s="35">
        <v>940000</v>
      </c>
      <c r="K18" s="33">
        <f>tbl_PurchaseOrder[[#This Row],[Ordered Qty]]*J18</f>
        <v>28200000</v>
      </c>
      <c r="L18" s="14" t="s">
        <v>19</v>
      </c>
      <c r="M18" s="12">
        <f>_xlfn.XLOOKUP(tbl_PurchaseOrder[[#This Row],[Material Code]],tbl_MasterMaterial[Material Code],tbl_MasterMaterial[Lead Time (Days)])</f>
        <v>5</v>
      </c>
      <c r="N18" s="15">
        <f>tbl_PurchaseOrder[[#This Row],[PO Date]]+tbl_PurchaseOrder[[#This Row],[Lead Time (Days)]]</f>
        <v>46251</v>
      </c>
      <c r="O18" s="3">
        <f>SUMIFS(tbl_GoodsReceipt[Received Qty],tbl_GoodsReceipt[PO Line Key (Helper)],tbl_PurchaseOrder[[#This Row],[PO Line Key (Helper)]])</f>
        <v>30</v>
      </c>
      <c r="P18" s="3">
        <f>IFERROR(tbl_PurchaseOrder[[#This Row],[Received Qty]]-tbl_PurchaseOrder[[#This Row],[Ordered Qty]],0)</f>
        <v>0</v>
      </c>
      <c r="Q18" s="16" t="str">
        <f>IF(tbl_PurchaseOrder[[#This Row],[Received Qty]]=0,"Open",IF(tbl_PurchaseOrder[[#This Row],[Received Qty]]&lt;tbl_PurchaseOrder[[#This Row],[Ordered Qty]],"Partial", "Closed"))</f>
        <v>Closed</v>
      </c>
      <c r="R18" s="6" t="s">
        <v>232</v>
      </c>
      <c r="S18" s="39" t="str">
        <f>tbl_PurchaseOrder[[#This Row],[PO Number]]&amp;"-"&amp;tbl_PurchaseOrder[[#This Row],[PO Line]]</f>
        <v>PO-2026-0007-10</v>
      </c>
    </row>
    <row r="19" spans="1:19" x14ac:dyDescent="0.25">
      <c r="A19" s="6" t="s">
        <v>225</v>
      </c>
      <c r="B19" s="7">
        <v>20</v>
      </c>
      <c r="C19" s="8">
        <v>46246</v>
      </c>
      <c r="D19" s="6" t="s">
        <v>173</v>
      </c>
      <c r="E19" s="9" t="str">
        <f>VLOOKUP(tbl_PurchaseOrder[[#This Row],[Supplier Code]],tbl_MasterSupplier[],2,FALSE)</f>
        <v>PT Industrial Consumables Indonesia</v>
      </c>
      <c r="F19" s="6" t="s">
        <v>60</v>
      </c>
      <c r="G19" s="9" t="str">
        <f>_xlfn.XLOOKUP(tbl_PurchaseOrder[[#This Row],[Material Code]],tbl_MasterMaterial[Material Code],tbl_MasterMaterial[Material Description])</f>
        <v>Cabin Air Filter</v>
      </c>
      <c r="H19" s="14" t="s">
        <v>17</v>
      </c>
      <c r="I19" s="11">
        <v>50</v>
      </c>
      <c r="J19" s="35">
        <v>315000</v>
      </c>
      <c r="K19" s="33">
        <f>tbl_PurchaseOrder[[#This Row],[Ordered Qty]]*J19</f>
        <v>15750000</v>
      </c>
      <c r="L19" s="14" t="s">
        <v>19</v>
      </c>
      <c r="M19" s="12">
        <f>_xlfn.XLOOKUP(tbl_PurchaseOrder[[#This Row],[Material Code]],tbl_MasterMaterial[Material Code],tbl_MasterMaterial[Lead Time (Days)])</f>
        <v>7</v>
      </c>
      <c r="N19" s="15">
        <f>tbl_PurchaseOrder[[#This Row],[PO Date]]+tbl_PurchaseOrder[[#This Row],[Lead Time (Days)]]</f>
        <v>46253</v>
      </c>
      <c r="O19" s="3">
        <f>SUMIFS(tbl_GoodsReceipt[Received Qty],tbl_GoodsReceipt[PO Line Key (Helper)],tbl_PurchaseOrder[[#This Row],[PO Line Key (Helper)]])</f>
        <v>50</v>
      </c>
      <c r="P19" s="3">
        <f>IFERROR(tbl_PurchaseOrder[[#This Row],[Received Qty]]-tbl_PurchaseOrder[[#This Row],[Ordered Qty]],0)</f>
        <v>0</v>
      </c>
      <c r="Q19" s="16" t="str">
        <f>IF(tbl_PurchaseOrder[[#This Row],[Received Qty]]=0,"Open",IF(tbl_PurchaseOrder[[#This Row],[Received Qty]]&lt;tbl_PurchaseOrder[[#This Row],[Ordered Qty]],"Partial", "Closed"))</f>
        <v>Closed</v>
      </c>
      <c r="R19" s="6"/>
      <c r="S19" s="39" t="str">
        <f>tbl_PurchaseOrder[[#This Row],[PO Number]]&amp;"-"&amp;tbl_PurchaseOrder[[#This Row],[PO Line]]</f>
        <v>PO-2026-0007-20</v>
      </c>
    </row>
    <row r="20" spans="1:19" x14ac:dyDescent="0.25">
      <c r="A20" s="6" t="s">
        <v>226</v>
      </c>
      <c r="B20" s="7">
        <v>10</v>
      </c>
      <c r="C20" s="8">
        <v>46248</v>
      </c>
      <c r="D20" s="6" t="s">
        <v>168</v>
      </c>
      <c r="E20" s="9" t="str">
        <f>VLOOKUP(tbl_PurchaseOrder[[#This Row],[Supplier Code]],tbl_MasterSupplier[],2,FALSE)</f>
        <v>PT Industrial Steel Supply</v>
      </c>
      <c r="F20" s="6" t="s">
        <v>58</v>
      </c>
      <c r="G20" s="9" t="str">
        <f>_xlfn.XLOOKUP(tbl_PurchaseOrder[[#This Row],[Material Code]],tbl_MasterMaterial[Material Code],tbl_MasterMaterial[Material Description])</f>
        <v>Steel I-Beam 6m Length</v>
      </c>
      <c r="H20" s="14" t="s">
        <v>17</v>
      </c>
      <c r="I20" s="11">
        <v>10</v>
      </c>
      <c r="J20" s="35">
        <v>5500000</v>
      </c>
      <c r="K20" s="33">
        <f>tbl_PurchaseOrder[[#This Row],[Ordered Qty]]*J20</f>
        <v>55000000</v>
      </c>
      <c r="L20" s="14" t="s">
        <v>19</v>
      </c>
      <c r="M20" s="12">
        <f>_xlfn.XLOOKUP(tbl_PurchaseOrder[[#This Row],[Material Code]],tbl_MasterMaterial[Material Code],tbl_MasterMaterial[Lead Time (Days)])</f>
        <v>25</v>
      </c>
      <c r="N20" s="15">
        <f>tbl_PurchaseOrder[[#This Row],[PO Date]]+tbl_PurchaseOrder[[#This Row],[Lead Time (Days)]]</f>
        <v>46273</v>
      </c>
      <c r="O20" s="3">
        <f>SUMIFS(tbl_GoodsReceipt[Received Qty],tbl_GoodsReceipt[PO Line Key (Helper)],tbl_PurchaseOrder[[#This Row],[PO Line Key (Helper)]])</f>
        <v>10</v>
      </c>
      <c r="P20" s="3">
        <f>IFERROR(tbl_PurchaseOrder[[#This Row],[Received Qty]]-tbl_PurchaseOrder[[#This Row],[Ordered Qty]],0)</f>
        <v>0</v>
      </c>
      <c r="Q20" s="16" t="str">
        <f>IF(tbl_PurchaseOrder[[#This Row],[Received Qty]]=0,"Open",IF(tbl_PurchaseOrder[[#This Row],[Received Qty]]&lt;tbl_PurchaseOrder[[#This Row],[Ordered Qty]],"Partial", "Closed"))</f>
        <v>Closed</v>
      </c>
      <c r="R20" s="6" t="s">
        <v>229</v>
      </c>
      <c r="S20" s="39" t="str">
        <f>tbl_PurchaseOrder[[#This Row],[PO Number]]&amp;"-"&amp;tbl_PurchaseOrder[[#This Row],[PO Line]]</f>
        <v>PO-2026-0008-10</v>
      </c>
    </row>
    <row r="21" spans="1:19" x14ac:dyDescent="0.25">
      <c r="A21" s="6" t="s">
        <v>227</v>
      </c>
      <c r="B21" s="7">
        <v>10</v>
      </c>
      <c r="C21" s="8">
        <v>46249</v>
      </c>
      <c r="D21" s="6" t="s">
        <v>171</v>
      </c>
      <c r="E21" s="9" t="str">
        <f>VLOOKUP(tbl_PurchaseOrder[[#This Row],[Supplier Code]],tbl_MasterSupplier[],2,FALSE)</f>
        <v>OEM Heavy Parts Corporation</v>
      </c>
      <c r="F21" s="6" t="s">
        <v>48</v>
      </c>
      <c r="G21" s="9" t="str">
        <f>_xlfn.XLOOKUP(tbl_PurchaseOrder[[#This Row],[Material Code]],tbl_MasterMaterial[Material Code],tbl_MasterMaterial[Material Description])</f>
        <v>Bucket Teeth (CAT style)</v>
      </c>
      <c r="H21" s="14" t="s">
        <v>17</v>
      </c>
      <c r="I21" s="11">
        <v>30</v>
      </c>
      <c r="J21" s="35">
        <v>615000</v>
      </c>
      <c r="K21" s="33">
        <f>tbl_PurchaseOrder[[#This Row],[Ordered Qty]]*J21</f>
        <v>18450000</v>
      </c>
      <c r="L21" s="14" t="s">
        <v>119</v>
      </c>
      <c r="M21" s="12">
        <f>_xlfn.XLOOKUP(tbl_PurchaseOrder[[#This Row],[Material Code]],tbl_MasterMaterial[Material Code],tbl_MasterMaterial[Lead Time (Days)])</f>
        <v>20</v>
      </c>
      <c r="N21" s="15">
        <f>tbl_PurchaseOrder[[#This Row],[PO Date]]+tbl_PurchaseOrder[[#This Row],[Lead Time (Days)]]</f>
        <v>46269</v>
      </c>
      <c r="O21" s="3">
        <f>SUMIFS(tbl_GoodsReceipt[Received Qty],tbl_GoodsReceipt[PO Line Key (Helper)],tbl_PurchaseOrder[[#This Row],[PO Line Key (Helper)]])</f>
        <v>0</v>
      </c>
      <c r="P21" s="3">
        <f>IFERROR(tbl_PurchaseOrder[[#This Row],[Received Qty]]-tbl_PurchaseOrder[[#This Row],[Ordered Qty]],0)</f>
        <v>-30</v>
      </c>
      <c r="Q21" s="16" t="str">
        <f>IF(tbl_PurchaseOrder[[#This Row],[Received Qty]]=0,"Open",IF(tbl_PurchaseOrder[[#This Row],[Received Qty]]&lt;tbl_PurchaseOrder[[#This Row],[Ordered Qty]],"Partial", "Closed"))</f>
        <v>Open</v>
      </c>
      <c r="R21" s="6"/>
      <c r="S21" s="39" t="str">
        <f>tbl_PurchaseOrder[[#This Row],[PO Number]]&amp;"-"&amp;tbl_PurchaseOrder[[#This Row],[PO Line]]</f>
        <v>PO-2026-0009-10</v>
      </c>
    </row>
    <row r="22" spans="1:19" x14ac:dyDescent="0.25">
      <c r="A22" s="6" t="s">
        <v>227</v>
      </c>
      <c r="B22" s="7">
        <v>20</v>
      </c>
      <c r="C22" s="8">
        <v>46249</v>
      </c>
      <c r="D22" s="6" t="s">
        <v>171</v>
      </c>
      <c r="E22" s="9" t="str">
        <f>VLOOKUP(tbl_PurchaseOrder[[#This Row],[Supplier Code]],tbl_MasterSupplier[],2,FALSE)</f>
        <v>OEM Heavy Parts Corporation</v>
      </c>
      <c r="F22" s="6" t="s">
        <v>64</v>
      </c>
      <c r="G22" s="9" t="str">
        <f>_xlfn.XLOOKUP(tbl_PurchaseOrder[[#This Row],[Material Code]],tbl_MasterMaterial[Material Code],tbl_MasterMaterial[Material Description])</f>
        <v>Undercarriage Chain Link Assembly</v>
      </c>
      <c r="H22" s="14" t="s">
        <v>17</v>
      </c>
      <c r="I22" s="11">
        <v>4</v>
      </c>
      <c r="J22" s="35">
        <v>8850000</v>
      </c>
      <c r="K22" s="33">
        <f>tbl_PurchaseOrder[[#This Row],[Ordered Qty]]*J22</f>
        <v>35400000</v>
      </c>
      <c r="L22" s="14" t="s">
        <v>119</v>
      </c>
      <c r="M22" s="12">
        <f>_xlfn.XLOOKUP(tbl_PurchaseOrder[[#This Row],[Material Code]],tbl_MasterMaterial[Material Code],tbl_MasterMaterial[Lead Time (Days)])</f>
        <v>40</v>
      </c>
      <c r="N22" s="15">
        <f>tbl_PurchaseOrder[[#This Row],[PO Date]]+tbl_PurchaseOrder[[#This Row],[Lead Time (Days)]]</f>
        <v>46289</v>
      </c>
      <c r="O22" s="3">
        <f>SUMIFS(tbl_GoodsReceipt[Received Qty],tbl_GoodsReceipt[PO Line Key (Helper)],tbl_PurchaseOrder[[#This Row],[PO Line Key (Helper)]])</f>
        <v>0</v>
      </c>
      <c r="P22" s="3">
        <f>IFERROR(tbl_PurchaseOrder[[#This Row],[Received Qty]]-tbl_PurchaseOrder[[#This Row],[Ordered Qty]],0)</f>
        <v>-4</v>
      </c>
      <c r="Q22" s="16" t="str">
        <f>IF(tbl_PurchaseOrder[[#This Row],[Received Qty]]=0,"Open",IF(tbl_PurchaseOrder[[#This Row],[Received Qty]]&lt;tbl_PurchaseOrder[[#This Row],[Ordered Qty]],"Partial", "Closed"))</f>
        <v>Open</v>
      </c>
      <c r="R22" s="6" t="s">
        <v>231</v>
      </c>
      <c r="S22" s="39" t="str">
        <f>tbl_PurchaseOrder[[#This Row],[PO Number]]&amp;"-"&amp;tbl_PurchaseOrder[[#This Row],[PO Line]]</f>
        <v>PO-2026-0009-20</v>
      </c>
    </row>
    <row r="23" spans="1:19" x14ac:dyDescent="0.25">
      <c r="A23" s="6" t="s">
        <v>228</v>
      </c>
      <c r="B23" s="7">
        <v>10</v>
      </c>
      <c r="C23" s="8">
        <v>46252</v>
      </c>
      <c r="D23" s="6" t="s">
        <v>174</v>
      </c>
      <c r="E23" s="9" t="str">
        <f>VLOOKUP(tbl_PurchaseOrder[[#This Row],[Supplier Code]],tbl_MasterSupplier[],2,FALSE)</f>
        <v>PT Metal Processing Supply</v>
      </c>
      <c r="F23" s="6" t="s">
        <v>43</v>
      </c>
      <c r="G23" s="9" t="str">
        <f>_xlfn.XLOOKUP(tbl_PurchaseOrder[[#This Row],[Material Code]],tbl_MasterMaterial[Material Code],tbl_MasterMaterial[Material Description])</f>
        <v>Welding Electrode E7018 3.2mm</v>
      </c>
      <c r="H23" s="14" t="s">
        <v>45</v>
      </c>
      <c r="I23" s="11">
        <v>250</v>
      </c>
      <c r="J23" s="35">
        <v>375000</v>
      </c>
      <c r="K23" s="33">
        <f>tbl_PurchaseOrder[[#This Row],[Ordered Qty]]*J23</f>
        <v>93750000</v>
      </c>
      <c r="L23" s="14" t="s">
        <v>19</v>
      </c>
      <c r="M23" s="12">
        <f>_xlfn.XLOOKUP(tbl_PurchaseOrder[[#This Row],[Material Code]],tbl_MasterMaterial[Material Code],tbl_MasterMaterial[Lead Time (Days)])</f>
        <v>7</v>
      </c>
      <c r="N23" s="15">
        <f>tbl_PurchaseOrder[[#This Row],[PO Date]]+tbl_PurchaseOrder[[#This Row],[Lead Time (Days)]]</f>
        <v>46259</v>
      </c>
      <c r="O23" s="3">
        <f>SUMIFS(tbl_GoodsReceipt[Received Qty],tbl_GoodsReceipt[PO Line Key (Helper)],tbl_PurchaseOrder[[#This Row],[PO Line Key (Helper)]])</f>
        <v>250</v>
      </c>
      <c r="P23" s="3">
        <f>IFERROR(tbl_PurchaseOrder[[#This Row],[Received Qty]]-tbl_PurchaseOrder[[#This Row],[Ordered Qty]],0)</f>
        <v>0</v>
      </c>
      <c r="Q23" s="16" t="str">
        <f>IF(tbl_PurchaseOrder[[#This Row],[Received Qty]]=0,"Open",IF(tbl_PurchaseOrder[[#This Row],[Received Qty]]&lt;tbl_PurchaseOrder[[#This Row],[Ordered Qty]],"Partial", "Closed"))</f>
        <v>Closed</v>
      </c>
      <c r="R23" s="6"/>
      <c r="S23" s="39" t="str">
        <f>tbl_PurchaseOrder[[#This Row],[PO Number]]&amp;"-"&amp;tbl_PurchaseOrder[[#This Row],[PO Line]]</f>
        <v>PO-2026-0010-10</v>
      </c>
    </row>
    <row r="24" spans="1:19" x14ac:dyDescent="0.25">
      <c r="A24" s="40"/>
      <c r="B24" s="41"/>
      <c r="C24" s="42"/>
      <c r="D24" s="40"/>
      <c r="E24" s="45"/>
      <c r="F24" s="40"/>
      <c r="G24" s="45"/>
      <c r="H24" s="55"/>
      <c r="I24" s="50"/>
      <c r="J24" s="58"/>
      <c r="K24" s="59"/>
      <c r="L24" s="60"/>
      <c r="M24" s="46"/>
      <c r="N24" s="61"/>
      <c r="O24" s="62"/>
      <c r="P24" s="62"/>
      <c r="Q24" s="52"/>
      <c r="R24" s="40"/>
      <c r="S24" s="63"/>
    </row>
    <row r="25" spans="1:19" x14ac:dyDescent="0.25">
      <c r="A25" s="40"/>
      <c r="B25" s="41"/>
      <c r="C25" s="42"/>
      <c r="D25" s="40"/>
      <c r="E25" s="45"/>
      <c r="F25" s="40"/>
      <c r="G25" s="45"/>
      <c r="H25" s="55"/>
      <c r="I25" s="50"/>
      <c r="J25" s="58"/>
      <c r="K25" s="59"/>
      <c r="L25" s="60"/>
      <c r="M25" s="46"/>
      <c r="N25" s="61"/>
      <c r="O25" s="62"/>
      <c r="P25" s="62"/>
      <c r="Q25" s="52"/>
      <c r="R25" s="40"/>
      <c r="S25" s="63"/>
    </row>
    <row r="27" spans="1:19" x14ac:dyDescent="0.25">
      <c r="I27" s="31"/>
    </row>
    <row r="28" spans="1:19" x14ac:dyDescent="0.25">
      <c r="A28" s="4" t="s">
        <v>67</v>
      </c>
    </row>
    <row r="29" spans="1:19" x14ac:dyDescent="0.25">
      <c r="A29" s="67"/>
      <c r="B29" s="68"/>
      <c r="C29" s="68"/>
      <c r="D29" s="68"/>
      <c r="E29" s="68"/>
      <c r="F29" s="68"/>
    </row>
    <row r="30" spans="1:19" x14ac:dyDescent="0.25">
      <c r="A30" s="67"/>
      <c r="B30" s="68"/>
      <c r="C30" s="68"/>
      <c r="D30" s="68"/>
      <c r="E30" s="68"/>
      <c r="F30" s="68"/>
    </row>
    <row r="31" spans="1:19" x14ac:dyDescent="0.25">
      <c r="A31" s="67"/>
      <c r="B31" s="68"/>
      <c r="C31" s="68"/>
      <c r="D31" s="68"/>
      <c r="E31" s="68"/>
      <c r="F31" s="68"/>
    </row>
    <row r="32" spans="1:19" x14ac:dyDescent="0.25">
      <c r="A32" s="67"/>
      <c r="B32" s="68"/>
      <c r="C32" s="68"/>
      <c r="D32" s="68"/>
      <c r="E32" s="68"/>
      <c r="F32" s="68"/>
    </row>
    <row r="33" spans="1:9" x14ac:dyDescent="0.25">
      <c r="A33" s="67"/>
      <c r="B33" s="68"/>
      <c r="C33" s="68"/>
      <c r="D33" s="68"/>
      <c r="E33" s="68"/>
      <c r="F33" s="68"/>
    </row>
    <row r="34" spans="1:9" x14ac:dyDescent="0.25">
      <c r="A34" s="67"/>
      <c r="B34" s="68"/>
      <c r="C34" s="68"/>
      <c r="D34" s="68"/>
      <c r="E34" s="68"/>
      <c r="F34" s="68"/>
    </row>
    <row r="35" spans="1:9" x14ac:dyDescent="0.25">
      <c r="A35" s="67"/>
      <c r="B35" s="68"/>
      <c r="C35" s="68"/>
      <c r="D35" s="68"/>
      <c r="E35" s="68"/>
      <c r="F35" s="68"/>
    </row>
    <row r="36" spans="1:9" x14ac:dyDescent="0.25">
      <c r="A36" s="68"/>
      <c r="B36" s="68"/>
      <c r="C36" s="68"/>
      <c r="D36" s="68"/>
      <c r="E36" s="68"/>
      <c r="F36" s="68"/>
    </row>
    <row r="37" spans="1:9" x14ac:dyDescent="0.25">
      <c r="A37" s="68"/>
      <c r="B37" s="68"/>
      <c r="C37" s="68"/>
      <c r="D37" s="68"/>
      <c r="E37" s="68"/>
      <c r="F37" s="68"/>
    </row>
    <row r="40" spans="1:9" ht="75" customHeight="1" x14ac:dyDescent="0.25">
      <c r="A40" s="22"/>
      <c r="B40" s="24"/>
      <c r="C40" s="22"/>
      <c r="D40" s="22"/>
      <c r="E40" s="22"/>
      <c r="F40" s="24"/>
      <c r="G40" s="24"/>
      <c r="H40" s="22"/>
      <c r="I40" s="22"/>
    </row>
    <row r="41" spans="1:9" ht="75" customHeight="1" x14ac:dyDescent="0.25">
      <c r="A41" s="23"/>
      <c r="B41" s="29"/>
      <c r="C41" s="30"/>
      <c r="D41" s="23"/>
      <c r="E41" s="23"/>
      <c r="F41" s="29"/>
      <c r="G41" s="25"/>
      <c r="H41" s="27"/>
      <c r="I41" s="23"/>
    </row>
    <row r="42" spans="1:9" ht="60" customHeight="1" x14ac:dyDescent="0.25">
      <c r="A42" s="23"/>
      <c r="B42" s="29"/>
      <c r="C42" s="30"/>
      <c r="D42" s="23"/>
      <c r="E42" s="23"/>
      <c r="F42" s="29"/>
      <c r="G42" s="25"/>
      <c r="H42" s="27"/>
      <c r="I42" s="23"/>
    </row>
    <row r="43" spans="1:9" ht="60" customHeight="1" x14ac:dyDescent="0.25">
      <c r="A43" s="23"/>
      <c r="B43" s="29"/>
      <c r="C43" s="30"/>
      <c r="D43" s="23"/>
      <c r="E43" s="23"/>
      <c r="F43" s="29"/>
      <c r="G43" s="25"/>
      <c r="H43" s="27"/>
      <c r="I43" s="23"/>
    </row>
    <row r="44" spans="1:9" ht="60" customHeight="1" x14ac:dyDescent="0.25">
      <c r="A44" s="23"/>
      <c r="B44" s="29"/>
      <c r="C44" s="30"/>
      <c r="D44" s="23"/>
      <c r="E44" s="23"/>
      <c r="F44" s="29"/>
      <c r="G44" s="25"/>
      <c r="H44" s="27"/>
      <c r="I44" s="23"/>
    </row>
    <row r="45" spans="1:9" ht="60" customHeight="1" x14ac:dyDescent="0.25">
      <c r="A45" s="23"/>
      <c r="B45" s="29"/>
      <c r="C45" s="30"/>
      <c r="D45" s="23"/>
      <c r="E45" s="23"/>
      <c r="F45" s="29"/>
      <c r="G45" s="25"/>
      <c r="H45" s="27"/>
      <c r="I45" s="23"/>
    </row>
    <row r="46" spans="1:9" ht="45" customHeight="1" x14ac:dyDescent="0.25">
      <c r="A46" s="23"/>
      <c r="B46" s="29"/>
      <c r="C46" s="30"/>
      <c r="D46" s="23"/>
      <c r="E46" s="23"/>
      <c r="F46" s="29"/>
      <c r="G46" s="25"/>
      <c r="H46" s="27"/>
      <c r="I46" s="23"/>
    </row>
    <row r="47" spans="1:9" ht="75" customHeight="1" x14ac:dyDescent="0.25">
      <c r="A47" s="23"/>
      <c r="B47" s="29"/>
      <c r="C47" s="30"/>
      <c r="D47" s="23"/>
      <c r="E47" s="23"/>
      <c r="F47" s="29"/>
      <c r="G47" s="25"/>
      <c r="H47" s="27"/>
      <c r="I47" s="23"/>
    </row>
    <row r="48" spans="1:9" ht="45" customHeight="1" x14ac:dyDescent="0.25">
      <c r="A48" s="23"/>
      <c r="B48" s="29"/>
      <c r="C48" s="30"/>
      <c r="D48" s="23"/>
      <c r="E48" s="23"/>
      <c r="F48" s="29"/>
      <c r="G48" s="25"/>
      <c r="H48" s="27"/>
      <c r="I48" s="23"/>
    </row>
    <row r="49" spans="1:9" ht="45" customHeight="1" x14ac:dyDescent="0.25">
      <c r="A49" s="23"/>
      <c r="B49" s="29"/>
      <c r="C49" s="30"/>
      <c r="D49" s="23"/>
      <c r="E49" s="23"/>
      <c r="F49" s="29"/>
      <c r="G49" s="25"/>
      <c r="H49" s="27"/>
      <c r="I49" s="23"/>
    </row>
    <row r="50" spans="1:9" x14ac:dyDescent="0.25">
      <c r="A50" s="23"/>
      <c r="B50" s="29"/>
      <c r="C50" s="30"/>
      <c r="D50" s="23"/>
      <c r="E50" s="23"/>
      <c r="F50" s="29"/>
      <c r="G50" s="25"/>
      <c r="H50" s="27"/>
      <c r="I50" s="23"/>
    </row>
    <row r="51" spans="1:9" ht="60" customHeight="1" x14ac:dyDescent="0.25">
      <c r="A51" s="23"/>
      <c r="B51" s="29"/>
      <c r="C51" s="30"/>
      <c r="D51" s="23"/>
      <c r="E51" s="23"/>
      <c r="F51" s="25"/>
      <c r="G51" s="25"/>
      <c r="H51" s="27"/>
      <c r="I51" s="23"/>
    </row>
    <row r="52" spans="1:9" ht="45" customHeight="1" x14ac:dyDescent="0.25">
      <c r="A52" s="23"/>
      <c r="B52" s="29"/>
      <c r="C52" s="30"/>
      <c r="D52" s="23"/>
      <c r="E52" s="23"/>
      <c r="F52" s="25"/>
      <c r="G52" s="25"/>
      <c r="H52" s="27"/>
      <c r="I52" s="23"/>
    </row>
    <row r="53" spans="1:9" ht="60" customHeight="1" x14ac:dyDescent="0.25">
      <c r="A53" s="23"/>
      <c r="B53" s="29"/>
      <c r="C53" s="30"/>
      <c r="D53" s="23"/>
      <c r="E53" s="23"/>
      <c r="F53" s="29"/>
      <c r="G53" s="25"/>
      <c r="H53" s="27"/>
      <c r="I53" s="23"/>
    </row>
    <row r="54" spans="1:9" ht="75" customHeight="1" x14ac:dyDescent="0.25">
      <c r="A54" s="23"/>
      <c r="B54" s="29"/>
      <c r="C54" s="30"/>
      <c r="D54" s="23"/>
      <c r="E54" s="23"/>
      <c r="F54" s="29"/>
      <c r="G54" s="25"/>
      <c r="H54" s="27"/>
      <c r="I54" s="23"/>
    </row>
    <row r="55" spans="1:9" ht="45" customHeight="1" x14ac:dyDescent="0.25">
      <c r="A55" s="23"/>
      <c r="B55" s="29"/>
      <c r="C55" s="30"/>
      <c r="D55" s="23"/>
      <c r="E55" s="23"/>
      <c r="F55" s="29"/>
      <c r="G55" s="25"/>
      <c r="H55" s="27"/>
      <c r="I55" s="23"/>
    </row>
    <row r="56" spans="1:9" x14ac:dyDescent="0.25">
      <c r="A56" s="23"/>
      <c r="B56" s="29"/>
      <c r="C56" s="30"/>
      <c r="D56" s="23"/>
      <c r="E56" s="23"/>
      <c r="F56" s="29"/>
      <c r="G56" s="25"/>
      <c r="H56" s="27"/>
      <c r="I56" s="23"/>
    </row>
    <row r="57" spans="1:9" ht="30" customHeight="1" x14ac:dyDescent="0.25">
      <c r="A57" s="23"/>
      <c r="B57" s="29"/>
      <c r="C57" s="30"/>
      <c r="D57" s="23"/>
      <c r="E57" s="23"/>
      <c r="F57" s="29"/>
      <c r="G57" s="25"/>
      <c r="H57" s="27"/>
      <c r="I57" s="23"/>
    </row>
    <row r="58" spans="1:9" ht="30" customHeight="1" x14ac:dyDescent="0.25">
      <c r="A58" s="23"/>
      <c r="B58" s="29"/>
      <c r="C58" s="30"/>
      <c r="D58" s="23"/>
      <c r="E58" s="23"/>
      <c r="F58" s="29"/>
      <c r="G58" s="25"/>
      <c r="H58" s="27"/>
      <c r="I58" s="23"/>
    </row>
    <row r="59" spans="1:9" ht="45" customHeight="1" x14ac:dyDescent="0.25">
      <c r="A59" s="23"/>
      <c r="B59" s="29"/>
      <c r="C59" s="30"/>
      <c r="D59" s="23"/>
      <c r="E59" s="23"/>
      <c r="F59" s="29"/>
      <c r="G59" s="25"/>
      <c r="H59" s="27"/>
      <c r="I59" s="23"/>
    </row>
    <row r="60" spans="1:9" x14ac:dyDescent="0.25">
      <c r="A60" s="23"/>
      <c r="B60" s="29"/>
      <c r="C60" s="30"/>
      <c r="D60" s="23"/>
      <c r="E60" s="23"/>
      <c r="F60" s="29"/>
      <c r="G60" s="25"/>
      <c r="H60" s="27"/>
      <c r="I60" s="23"/>
    </row>
  </sheetData>
  <mergeCells count="1">
    <mergeCell ref="A1:S1"/>
  </mergeCells>
  <phoneticPr fontId="10" type="noConversion"/>
  <conditionalFormatting sqref="L4:L25">
    <cfRule type="expression" dxfId="38" priority="56">
      <formula>$L4="Urgent"</formula>
    </cfRule>
  </conditionalFormatting>
  <conditionalFormatting sqref="N26:N511">
    <cfRule type="expression" dxfId="37" priority="3">
      <formula>$N26="Urgent"</formula>
    </cfRule>
  </conditionalFormatting>
  <conditionalFormatting sqref="Q4:Q25">
    <cfRule type="expression" dxfId="36" priority="1">
      <formula>$Q4="Partial"</formula>
    </cfRule>
    <cfRule type="expression" dxfId="35" priority="64">
      <formula>$Q4="Cancelled"</formula>
    </cfRule>
    <cfRule type="expression" dxfId="34" priority="65">
      <formula>$Q4="Closed"</formula>
    </cfRule>
    <cfRule type="expression" dxfId="33" priority="66">
      <formula>$Q4="Open"</formula>
    </cfRule>
  </conditionalFormatting>
  <conditionalFormatting sqref="R26:R511">
    <cfRule type="expression" dxfId="32" priority="4">
      <formula>$R26="Cancelled"</formula>
    </cfRule>
    <cfRule type="expression" dxfId="31" priority="5">
      <formula>$R26="Closed"</formula>
    </cfRule>
    <cfRule type="expression" dxfId="30" priority="6">
      <formula>$R26="Open"</formula>
    </cfRule>
  </conditionalFormatting>
  <dataValidations count="1">
    <dataValidation type="list" showInputMessage="1" showErrorMessage="1" errorTitle="Invalid entry" error="Please select a value from the list." promptTitle="Order Priority" prompt="Standard or Urgent (emergency) order." sqref="N26:N511 L4:L25" xr:uid="{00000000-0002-0000-0300-000002000000}">
      <formula1>"Standard,Urgent"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 errorTitle="Invalid entry" error="Please select a value from the list." promptTitle="Material Code" prompt="Select a valid material code from the master." xr:uid="{00000000-0002-0000-0300-000000000000}">
          <x14:formula1>
            <xm:f>'01_Master_Material'!$A$4:$A$23</xm:f>
          </x14:formula1>
          <x14:formula2>
            <xm:f>0</xm:f>
          </x14:formula2>
          <xm:sqref>F61:F511 F4:F39</xm:sqref>
        </x14:dataValidation>
        <x14:dataValidation type="list" showInputMessage="1" showErrorMessage="1" errorTitle="Invalid entry" error="Please select a value from the list." promptTitle="Supplier Code" prompt="Select a valid supplier code from the master." xr:uid="{00000000-0002-0000-0300-000001000000}">
          <x14:formula1>
            <xm:f>'02_Master_Supplier'!$A$4:$A$13</xm:f>
          </x14:formula1>
          <x14:formula2>
            <xm:f>0</xm:f>
          </x14:formula2>
          <xm:sqref>D26:D39 D61:D511</xm:sqref>
        </x14:dataValidation>
        <x14:dataValidation type="list" showInputMessage="1" showErrorMessage="1" errorTitle="Invalid entry" error="Please select a value from the list." promptTitle="Supplier Code" prompt="Select a valid supplier code from the master." xr:uid="{028D67C6-7D7B-422E-83B4-1A317410E764}">
          <x14:formula1>
            <xm:f>'02_Master_Supplier'!$A$4:$A$13</xm:f>
          </x14:formula1>
          <xm:sqref>D4:D25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45"/>
  <sheetViews>
    <sheetView showGridLines="0" zoomScaleNormal="100" workbookViewId="0">
      <pane ySplit="3" topLeftCell="A4" activePane="bottomLeft" state="frozen"/>
      <selection pane="bottomLeft" activeCell="C5" sqref="C5"/>
    </sheetView>
  </sheetViews>
  <sheetFormatPr defaultColWidth="8.7109375" defaultRowHeight="15" x14ac:dyDescent="0.25"/>
  <cols>
    <col min="1" max="1" width="14" customWidth="1"/>
    <col min="2" max="2" width="8" customWidth="1"/>
    <col min="3" max="3" width="12" customWidth="1"/>
    <col min="4" max="4" width="14" customWidth="1"/>
    <col min="5" max="5" width="8" customWidth="1"/>
    <col min="6" max="6" width="16.7109375" bestFit="1" customWidth="1"/>
    <col min="7" max="7" width="14.7109375" customWidth="1"/>
    <col min="8" max="8" width="32.7109375" customWidth="1"/>
    <col min="9" max="9" width="12" customWidth="1"/>
    <col min="10" max="10" width="30" customWidth="1"/>
    <col min="11" max="11" width="14" customWidth="1"/>
    <col min="12" max="12" width="12" customWidth="1"/>
    <col min="13" max="13" width="14.42578125" bestFit="1" customWidth="1"/>
    <col min="14" max="14" width="17.85546875" bestFit="1" customWidth="1"/>
    <col min="15" max="15" width="17.85546875" customWidth="1"/>
    <col min="16" max="16" width="16.140625" customWidth="1"/>
    <col min="17" max="17" width="14" bestFit="1" customWidth="1"/>
    <col min="18" max="18" width="12" customWidth="1"/>
    <col min="19" max="19" width="11.140625" customWidth="1"/>
    <col min="20" max="20" width="10" customWidth="1"/>
    <col min="21" max="23" width="18" customWidth="1"/>
    <col min="24" max="24" width="14.28515625" customWidth="1"/>
    <col min="25" max="26" width="15.85546875" customWidth="1"/>
    <col min="27" max="27" width="12" customWidth="1"/>
    <col min="28" max="28" width="33.5703125" bestFit="1" customWidth="1"/>
    <col min="29" max="29" width="16" customWidth="1"/>
  </cols>
  <sheetData>
    <row r="1" spans="1:29" ht="24" customHeight="1" x14ac:dyDescent="0.25">
      <c r="A1" s="80" t="s">
        <v>123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</row>
    <row r="3" spans="1:29" ht="31.5" customHeight="1" x14ac:dyDescent="0.25">
      <c r="A3" s="1" t="s">
        <v>124</v>
      </c>
      <c r="B3" s="1" t="s">
        <v>125</v>
      </c>
      <c r="C3" s="1" t="s">
        <v>126</v>
      </c>
      <c r="D3" s="1" t="s">
        <v>107</v>
      </c>
      <c r="E3" s="1" t="s">
        <v>108</v>
      </c>
      <c r="F3" s="1" t="s">
        <v>116</v>
      </c>
      <c r="G3" s="1" t="s">
        <v>69</v>
      </c>
      <c r="H3" s="1" t="s">
        <v>70</v>
      </c>
      <c r="I3" s="1" t="s">
        <v>1</v>
      </c>
      <c r="J3" s="1" t="s">
        <v>2</v>
      </c>
      <c r="K3" s="1" t="s">
        <v>233</v>
      </c>
      <c r="L3" s="1" t="s">
        <v>5</v>
      </c>
      <c r="M3" s="1" t="s">
        <v>110</v>
      </c>
      <c r="N3" s="1" t="s">
        <v>113</v>
      </c>
      <c r="O3" s="1" t="s">
        <v>235</v>
      </c>
      <c r="P3" s="1" t="s">
        <v>215</v>
      </c>
      <c r="Q3" s="1" t="s">
        <v>236</v>
      </c>
      <c r="R3" s="1" t="s">
        <v>218</v>
      </c>
      <c r="S3" s="1" t="s">
        <v>293</v>
      </c>
      <c r="T3" s="1" t="s">
        <v>294</v>
      </c>
      <c r="U3" s="1" t="s">
        <v>127</v>
      </c>
      <c r="V3" s="1" t="s">
        <v>128</v>
      </c>
      <c r="W3" s="1" t="s">
        <v>129</v>
      </c>
      <c r="X3" s="1" t="s">
        <v>234</v>
      </c>
      <c r="Y3" s="1" t="s">
        <v>237</v>
      </c>
      <c r="Z3" s="1" t="s">
        <v>268</v>
      </c>
      <c r="AA3" s="1" t="s">
        <v>130</v>
      </c>
      <c r="AB3" s="1" t="s">
        <v>115</v>
      </c>
      <c r="AC3" s="1" t="s">
        <v>131</v>
      </c>
    </row>
    <row r="4" spans="1:29" x14ac:dyDescent="0.25">
      <c r="A4" s="6" t="s">
        <v>132</v>
      </c>
      <c r="B4" s="7">
        <v>10</v>
      </c>
      <c r="C4" s="8">
        <v>46244</v>
      </c>
      <c r="D4" s="6" t="s">
        <v>118</v>
      </c>
      <c r="E4" s="7">
        <v>10</v>
      </c>
      <c r="F4" s="38" t="str">
        <f>tbl_GoodsReceipt[[#This Row],[PO Number]]&amp;"-"&amp;tbl_GoodsReceipt[[#This Row],[PO Line]]</f>
        <v>PO-2026-0002-10</v>
      </c>
      <c r="G4" s="37" t="str">
        <f>_xlfn.XLOOKUP(tbl_GoodsReceipt[[#This Row],[PO Line Key (Helper)]],tbl_PurchaseOrder[PO Line Key (Helper)],tbl_PurchaseOrder[Supplier Code])</f>
        <v>SUP-0005</v>
      </c>
      <c r="H4" s="37" t="str">
        <f>_xlfn.XLOOKUP(tbl_GoodsReceipt[[#This Row],[Supplier Code]],tbl_MasterSupplier[Supplier Code],tbl_MasterSupplier[Supplier Name])</f>
        <v>Global Engine Components Pte Ltd</v>
      </c>
      <c r="I4" s="9" t="str">
        <f>_xlfn.XLOOKUP(tbl_GoodsReceipt[[#This Row],[PO Line Key (Helper)]],tbl_PurchaseOrder[PO Line Key (Helper)],tbl_PurchaseOrder[Material Code])</f>
        <v>MAT-00003</v>
      </c>
      <c r="J4" s="9" t="str">
        <f>_xlfn.XLOOKUP(tbl_GoodsReceipt[[#This Row],[Material Code]],tbl_MasterMaterial[Material Code],tbl_MasterMaterial[Material Description])</f>
        <v>Engine Oil Filter (Cat 320D)</v>
      </c>
      <c r="K4" s="12">
        <f>_xlfn.XLOOKUP(tbl_GoodsReceipt[[#This Row],[PO Line Key (Helper)]],tbl_PurchaseOrder[PO Line Key (Helper)],tbl_PurchaseOrder[Ordered Qty])</f>
        <v>60</v>
      </c>
      <c r="L4" s="12" t="str">
        <f>_xlfn.XLOOKUP(tbl_GoodsReceipt[[#This Row],[PO Line Key (Helper)]],tbl_PurchaseOrder[PO Line Key (Helper)],tbl_PurchaseOrder[Purchase UoM])</f>
        <v>PCS</v>
      </c>
      <c r="M4" s="18">
        <f>_xlfn.XLOOKUP(tbl_GoodsReceipt[[#This Row],[PO Line Key (Helper)]],tbl_PurchaseOrder[PO Line Key (Helper)],tbl_PurchaseOrder[Unit Price])</f>
        <v>245000</v>
      </c>
      <c r="N4" s="20">
        <f>_xlfn.XLOOKUP(tbl_GoodsReceipt[[#This Row],[PO Line Key (Helper)]],tbl_PurchaseOrder[PO Line Key (Helper)],tbl_PurchaseOrder[Expected Delivery Date])</f>
        <v>46244</v>
      </c>
      <c r="O4" s="6" t="s">
        <v>248</v>
      </c>
      <c r="P4" s="6" t="s">
        <v>284</v>
      </c>
      <c r="Q4" s="6" t="s">
        <v>240</v>
      </c>
      <c r="R4" s="11">
        <v>40</v>
      </c>
      <c r="S4" s="11">
        <v>40</v>
      </c>
      <c r="T4" s="19">
        <f>tbl_GoodsReceipt[[#This Row],[Received Qty]]-tbl_GoodsReceipt[[#This Row],[Accepted Qty]]</f>
        <v>0</v>
      </c>
      <c r="U4" s="16" t="str">
        <f>IF(tbl_GoodsReceipt[[#This Row],[Accepted Qty]]=0,"Fully Rejected", IF(tbl_GoodsReceipt[[#This Row],[Rejected Qty]]=0,"Fully Accepted","Partialy Accepted"))</f>
        <v>Fully Accepted</v>
      </c>
      <c r="V4" s="6" t="s">
        <v>133</v>
      </c>
      <c r="W4" s="6" t="s">
        <v>249</v>
      </c>
      <c r="X4" s="21">
        <f>tbl_GoodsReceipt[[#This Row],[Received Qty]]-tbl_GoodsReceipt[[#This Row],[Order Qty]]</f>
        <v>-20</v>
      </c>
      <c r="Y4" s="13">
        <f>IFERROR(tbl_GoodsReceipt[[#This Row],[Received Variance]]/tbl_GoodsReceipt[[#This Row],[Order Qty]],0)</f>
        <v>-0.33333333333333331</v>
      </c>
      <c r="Z4" s="13" t="str">
        <f>IF(tbl_GoodsReceipt[[#This Row],[GR Date]]&lt;=tbl_GoodsReceipt[[#This Row],[Expected Delivery Date]],"On-time","Late")</f>
        <v>On-time</v>
      </c>
      <c r="AA4" s="10"/>
      <c r="AB4" s="6"/>
      <c r="AC4" s="17" t="str">
        <f>tbl_GoodsReceipt[[#This Row],[GR Number]]&amp;"-"&amp;tbl_GoodsReceipt[[#This Row],[GR Line]]</f>
        <v>GR-2026-0001-10</v>
      </c>
    </row>
    <row r="5" spans="1:29" x14ac:dyDescent="0.25">
      <c r="A5" s="6" t="s">
        <v>132</v>
      </c>
      <c r="B5" s="7">
        <v>20</v>
      </c>
      <c r="C5" s="8">
        <v>46244</v>
      </c>
      <c r="D5" s="6" t="s">
        <v>118</v>
      </c>
      <c r="E5" s="7">
        <v>20</v>
      </c>
      <c r="F5" s="38" t="str">
        <f>tbl_GoodsReceipt[[#This Row],[PO Number]]&amp;"-"&amp;tbl_GoodsReceipt[[#This Row],[PO Line]]</f>
        <v>PO-2026-0002-20</v>
      </c>
      <c r="G5" s="37" t="str">
        <f>_xlfn.XLOOKUP(tbl_GoodsReceipt[[#This Row],[PO Line Key (Helper)]],tbl_PurchaseOrder[PO Line Key (Helper)],tbl_PurchaseOrder[Supplier Code])</f>
        <v>SUP-0005</v>
      </c>
      <c r="H5" s="37" t="str">
        <f>_xlfn.XLOOKUP(tbl_GoodsReceipt[[#This Row],[Supplier Code]],tbl_MasterSupplier[Supplier Code],tbl_MasterSupplier[Supplier Name])</f>
        <v>Global Engine Components Pte Ltd</v>
      </c>
      <c r="I5" s="9" t="str">
        <f>_xlfn.XLOOKUP(tbl_GoodsReceipt[[#This Row],[PO Line Key (Helper)]],tbl_PurchaseOrder[PO Line Key (Helper)],tbl_PurchaseOrder[Material Code])</f>
        <v>MAT-00007</v>
      </c>
      <c r="J5" s="9" t="str">
        <f>_xlfn.XLOOKUP(tbl_GoodsReceipt[[#This Row],[Material Code]],tbl_MasterMaterial[Material Code],tbl_MasterMaterial[Material Description])</f>
        <v>Air Filter Element - Primary</v>
      </c>
      <c r="K5" s="12">
        <f>_xlfn.XLOOKUP(tbl_GoodsReceipt[[#This Row],[PO Line Key (Helper)]],tbl_PurchaseOrder[PO Line Key (Helper)],tbl_PurchaseOrder[Ordered Qty])</f>
        <v>40</v>
      </c>
      <c r="L5" s="12" t="str">
        <f>_xlfn.XLOOKUP(tbl_GoodsReceipt[[#This Row],[PO Line Key (Helper)]],tbl_PurchaseOrder[PO Line Key (Helper)],tbl_PurchaseOrder[Purchase UoM])</f>
        <v>PCS</v>
      </c>
      <c r="M5" s="18">
        <f>_xlfn.XLOOKUP(tbl_GoodsReceipt[[#This Row],[PO Line Key (Helper)]],tbl_PurchaseOrder[PO Line Key (Helper)],tbl_PurchaseOrder[Unit Price])</f>
        <v>410000</v>
      </c>
      <c r="N5" s="20">
        <f>_xlfn.XLOOKUP(tbl_GoodsReceipt[[#This Row],[PO Line Key (Helper)]],tbl_PurchaseOrder[PO Line Key (Helper)],tbl_PurchaseOrder[Expected Delivery Date])</f>
        <v>46247</v>
      </c>
      <c r="O5" s="6" t="s">
        <v>248</v>
      </c>
      <c r="P5" s="6" t="s">
        <v>284</v>
      </c>
      <c r="Q5" s="6" t="s">
        <v>240</v>
      </c>
      <c r="R5" s="11">
        <v>20</v>
      </c>
      <c r="S5" s="11">
        <v>20</v>
      </c>
      <c r="T5" s="19">
        <f>tbl_GoodsReceipt[[#This Row],[Received Qty]]-tbl_GoodsReceipt[[#This Row],[Accepted Qty]]</f>
        <v>0</v>
      </c>
      <c r="U5" s="16" t="str">
        <f>IF(tbl_GoodsReceipt[[#This Row],[Accepted Qty]]=0,"Fully Rejected", IF(tbl_GoodsReceipt[[#This Row],[Rejected Qty]]=0,"Fully Accepted","Partialy Accepted"))</f>
        <v>Fully Accepted</v>
      </c>
      <c r="V5" s="6" t="s">
        <v>133</v>
      </c>
      <c r="W5" s="6" t="s">
        <v>249</v>
      </c>
      <c r="X5" s="21">
        <f>tbl_GoodsReceipt[[#This Row],[Received Qty]]-tbl_GoodsReceipt[[#This Row],[Order Qty]]</f>
        <v>-20</v>
      </c>
      <c r="Y5" s="13">
        <f>IFERROR(tbl_GoodsReceipt[[#This Row],[Received Variance]]/tbl_GoodsReceipt[[#This Row],[Order Qty]],0)</f>
        <v>-0.5</v>
      </c>
      <c r="Z5" s="13" t="str">
        <f>IF(tbl_GoodsReceipt[[#This Row],[GR Date]]&lt;=tbl_GoodsReceipt[[#This Row],[Expected Delivery Date]],"On-time","Late")</f>
        <v>On-time</v>
      </c>
      <c r="AA5" s="10"/>
      <c r="AB5" s="6"/>
      <c r="AC5" s="17" t="str">
        <f>tbl_GoodsReceipt[[#This Row],[GR Number]]&amp;"-"&amp;tbl_GoodsReceipt[[#This Row],[GR Line]]</f>
        <v>GR-2026-0001-20</v>
      </c>
    </row>
    <row r="6" spans="1:29" x14ac:dyDescent="0.25">
      <c r="A6" s="6" t="s">
        <v>135</v>
      </c>
      <c r="B6" s="7">
        <v>10</v>
      </c>
      <c r="C6" s="8">
        <v>46249</v>
      </c>
      <c r="D6" s="6" t="s">
        <v>117</v>
      </c>
      <c r="E6" s="7">
        <v>10</v>
      </c>
      <c r="F6" s="38" t="str">
        <f>tbl_GoodsReceipt[[#This Row],[PO Number]]&amp;"-"&amp;tbl_GoodsReceipt[[#This Row],[PO Line]]</f>
        <v>PO-2026-0001-10</v>
      </c>
      <c r="G6" s="37" t="str">
        <f>_xlfn.XLOOKUP(tbl_GoodsReceipt[[#This Row],[PO Line Key (Helper)]],tbl_PurchaseOrder[PO Line Key (Helper)],tbl_PurchaseOrder[Supplier Code])</f>
        <v>SUP-0007</v>
      </c>
      <c r="H6" s="37" t="str">
        <f>_xlfn.XLOOKUP(tbl_GoodsReceipt[[#This Row],[Supplier Code]],tbl_MasterSupplier[Supplier Code],tbl_MasterSupplier[Supplier Name])</f>
        <v>Global Hydraulic Solutions Pte Ltd</v>
      </c>
      <c r="I6" s="9" t="str">
        <f>_xlfn.XLOOKUP(tbl_GoodsReceipt[[#This Row],[PO Line Key (Helper)]],tbl_PurchaseOrder[PO Line Key (Helper)],tbl_PurchaseOrder[Material Code])</f>
        <v>MAT-00001</v>
      </c>
      <c r="J6" s="9" t="str">
        <f>_xlfn.XLOOKUP(tbl_GoodsReceipt[[#This Row],[Material Code]],tbl_MasterMaterial[Material Code],tbl_MasterMaterial[Material Description])</f>
        <v>Hydraulic Cylinder Seal Kit 80mm</v>
      </c>
      <c r="K6" s="12">
        <f>_xlfn.XLOOKUP(tbl_GoodsReceipt[[#This Row],[PO Line Key (Helper)]],tbl_PurchaseOrder[PO Line Key (Helper)],tbl_PurchaseOrder[Ordered Qty])</f>
        <v>40</v>
      </c>
      <c r="L6" s="12" t="str">
        <f>_xlfn.XLOOKUP(tbl_GoodsReceipt[[#This Row],[PO Line Key (Helper)]],tbl_PurchaseOrder[PO Line Key (Helper)],tbl_PurchaseOrder[Purchase UoM])</f>
        <v>PCS</v>
      </c>
      <c r="M6" s="18">
        <f>_xlfn.XLOOKUP(tbl_GoodsReceipt[[#This Row],[PO Line Key (Helper)]],tbl_PurchaseOrder[PO Line Key (Helper)],tbl_PurchaseOrder[Unit Price])</f>
        <v>730000</v>
      </c>
      <c r="N6" s="20">
        <f>_xlfn.XLOOKUP(tbl_GoodsReceipt[[#This Row],[PO Line Key (Helper)]],tbl_PurchaseOrder[PO Line Key (Helper)],tbl_PurchaseOrder[Expected Delivery Date])</f>
        <v>46249</v>
      </c>
      <c r="O6" s="6" t="s">
        <v>238</v>
      </c>
      <c r="P6" s="6" t="s">
        <v>281</v>
      </c>
      <c r="Q6" s="6" t="s">
        <v>239</v>
      </c>
      <c r="R6" s="11">
        <v>40</v>
      </c>
      <c r="S6" s="11">
        <v>40</v>
      </c>
      <c r="T6" s="19">
        <f>tbl_GoodsReceipt[[#This Row],[Received Qty]]-tbl_GoodsReceipt[[#This Row],[Accepted Qty]]</f>
        <v>0</v>
      </c>
      <c r="U6" s="16" t="str">
        <f>IF(tbl_GoodsReceipt[[#This Row],[Accepted Qty]]=0,"Fully Rejected", IF(tbl_GoodsReceipt[[#This Row],[Rejected Qty]]=0,"Fully Accepted","Partialy Accepted"))</f>
        <v>Fully Accepted</v>
      </c>
      <c r="V6" s="6" t="s">
        <v>133</v>
      </c>
      <c r="W6" s="6" t="s">
        <v>246</v>
      </c>
      <c r="X6" s="21">
        <f>tbl_GoodsReceipt[[#This Row],[Received Qty]]-tbl_GoodsReceipt[[#This Row],[Order Qty]]</f>
        <v>0</v>
      </c>
      <c r="Y6" s="13">
        <f>IFERROR(tbl_GoodsReceipt[[#This Row],[Received Variance]]/tbl_GoodsReceipt[[#This Row],[Order Qty]],0)</f>
        <v>0</v>
      </c>
      <c r="Z6" s="13" t="str">
        <f>IF(tbl_GoodsReceipt[[#This Row],[GR Date]]&lt;=tbl_GoodsReceipt[[#This Row],[Expected Delivery Date]],"On-time","Late")</f>
        <v>On-time</v>
      </c>
      <c r="AA6" s="10" t="e">
        <f>IF(COUNTIF('06_Put_Away'!#REF!,AC6)&gt;0,"Completed","Pending")</f>
        <v>#REF!</v>
      </c>
      <c r="AB6" s="6"/>
      <c r="AC6" s="17" t="str">
        <f>tbl_GoodsReceipt[[#This Row],[GR Number]]&amp;"-"&amp;tbl_GoodsReceipt[[#This Row],[GR Line]]</f>
        <v>GR-2026-0002-10</v>
      </c>
    </row>
    <row r="7" spans="1:29" x14ac:dyDescent="0.25">
      <c r="A7" s="6" t="s">
        <v>135</v>
      </c>
      <c r="B7" s="7">
        <v>20</v>
      </c>
      <c r="C7" s="8">
        <v>46249</v>
      </c>
      <c r="D7" s="6" t="s">
        <v>117</v>
      </c>
      <c r="E7" s="7">
        <v>20</v>
      </c>
      <c r="F7" s="38" t="str">
        <f>tbl_GoodsReceipt[[#This Row],[PO Number]]&amp;"-"&amp;tbl_GoodsReceipt[[#This Row],[PO Line]]</f>
        <v>PO-2026-0001-20</v>
      </c>
      <c r="G7" s="37" t="str">
        <f>_xlfn.XLOOKUP(tbl_GoodsReceipt[[#This Row],[PO Line Key (Helper)]],tbl_PurchaseOrder[PO Line Key (Helper)],tbl_PurchaseOrder[Supplier Code])</f>
        <v>SUP-0007</v>
      </c>
      <c r="H7" s="37" t="str">
        <f>_xlfn.XLOOKUP(tbl_GoodsReceipt[[#This Row],[Supplier Code]],tbl_MasterSupplier[Supplier Code],tbl_MasterSupplier[Supplier Name])</f>
        <v>Global Hydraulic Solutions Pte Ltd</v>
      </c>
      <c r="I7" s="9" t="str">
        <f>_xlfn.XLOOKUP(tbl_GoodsReceipt[[#This Row],[PO Line Key (Helper)]],tbl_PurchaseOrder[PO Line Key (Helper)],tbl_PurchaseOrder[Material Code])</f>
        <v>MAT-00008</v>
      </c>
      <c r="J7" s="9" t="str">
        <f>_xlfn.XLOOKUP(tbl_GoodsReceipt[[#This Row],[Material Code]],tbl_MasterMaterial[Material Code],tbl_MasterMaterial[Material Description])</f>
        <v>Hydraulic Hose 1/2in x 3m</v>
      </c>
      <c r="K7" s="12">
        <f>_xlfn.XLOOKUP(tbl_GoodsReceipt[[#This Row],[PO Line Key (Helper)]],tbl_PurchaseOrder[PO Line Key (Helper)],tbl_PurchaseOrder[Ordered Qty])</f>
        <v>20</v>
      </c>
      <c r="L7" s="12" t="str">
        <f>_xlfn.XLOOKUP(tbl_GoodsReceipt[[#This Row],[PO Line Key (Helper)]],tbl_PurchaseOrder[PO Line Key (Helper)],tbl_PurchaseOrder[Purchase UoM])</f>
        <v>PCS</v>
      </c>
      <c r="M7" s="18">
        <f>_xlfn.XLOOKUP(tbl_GoodsReceipt[[#This Row],[PO Line Key (Helper)]],tbl_PurchaseOrder[PO Line Key (Helper)],tbl_PurchaseOrder[Unit Price])</f>
        <v>670000</v>
      </c>
      <c r="N7" s="20">
        <f>_xlfn.XLOOKUP(tbl_GoodsReceipt[[#This Row],[PO Line Key (Helper)]],tbl_PurchaseOrder[PO Line Key (Helper)],tbl_PurchaseOrder[Expected Delivery Date])</f>
        <v>46247</v>
      </c>
      <c r="O7" s="6" t="s">
        <v>238</v>
      </c>
      <c r="P7" s="6" t="s">
        <v>281</v>
      </c>
      <c r="Q7" s="6" t="s">
        <v>239</v>
      </c>
      <c r="R7" s="11">
        <v>20</v>
      </c>
      <c r="S7" s="11">
        <v>20</v>
      </c>
      <c r="T7" s="19">
        <f>tbl_GoodsReceipt[[#This Row],[Received Qty]]-tbl_GoodsReceipt[[#This Row],[Accepted Qty]]</f>
        <v>0</v>
      </c>
      <c r="U7" s="16" t="str">
        <f>IF(tbl_GoodsReceipt[[#This Row],[Accepted Qty]]=0,"Fully Rejected", IF(tbl_GoodsReceipt[[#This Row],[Rejected Qty]]=0,"Fully Accepted","Partialy Accepted"))</f>
        <v>Fully Accepted</v>
      </c>
      <c r="V7" s="6" t="s">
        <v>133</v>
      </c>
      <c r="W7" s="6" t="s">
        <v>246</v>
      </c>
      <c r="X7" s="21">
        <f>tbl_GoodsReceipt[[#This Row],[Received Qty]]-tbl_GoodsReceipt[[#This Row],[Order Qty]]</f>
        <v>0</v>
      </c>
      <c r="Y7" s="13">
        <f>IFERROR(tbl_GoodsReceipt[[#This Row],[Received Variance]]/tbl_GoodsReceipt[[#This Row],[Order Qty]],0)</f>
        <v>0</v>
      </c>
      <c r="Z7" s="13" t="str">
        <f>IF(tbl_GoodsReceipt[[#This Row],[GR Date]]&lt;=tbl_GoodsReceipt[[#This Row],[Expected Delivery Date]],"On-time","Late")</f>
        <v>Late</v>
      </c>
      <c r="AA7" s="10"/>
      <c r="AB7" s="6" t="s">
        <v>252</v>
      </c>
      <c r="AC7" s="17" t="str">
        <f>tbl_GoodsReceipt[[#This Row],[GR Number]]&amp;"-"&amp;tbl_GoodsReceipt[[#This Row],[GR Line]]</f>
        <v>GR-2026-0002-20</v>
      </c>
    </row>
    <row r="8" spans="1:29" x14ac:dyDescent="0.25">
      <c r="A8" s="6" t="s">
        <v>135</v>
      </c>
      <c r="B8" s="7">
        <v>30</v>
      </c>
      <c r="C8" s="8">
        <v>46249</v>
      </c>
      <c r="D8" s="6" t="s">
        <v>117</v>
      </c>
      <c r="E8" s="7">
        <v>30</v>
      </c>
      <c r="F8" s="38" t="str">
        <f>tbl_GoodsReceipt[[#This Row],[PO Number]]&amp;"-"&amp;tbl_GoodsReceipt[[#This Row],[PO Line]]</f>
        <v>PO-2026-0001-30</v>
      </c>
      <c r="G8" s="37" t="str">
        <f>_xlfn.XLOOKUP(tbl_GoodsReceipt[[#This Row],[PO Line Key (Helper)]],tbl_PurchaseOrder[PO Line Key (Helper)],tbl_PurchaseOrder[Supplier Code])</f>
        <v>SUP-0007</v>
      </c>
      <c r="H8" s="37" t="str">
        <f>_xlfn.XLOOKUP(tbl_GoodsReceipt[[#This Row],[Supplier Code]],tbl_MasterSupplier[Supplier Code],tbl_MasterSupplier[Supplier Name])</f>
        <v>Global Hydraulic Solutions Pte Ltd</v>
      </c>
      <c r="I8" s="9" t="str">
        <f>_xlfn.XLOOKUP(tbl_GoodsReceipt[[#This Row],[PO Line Key (Helper)]],tbl_PurchaseOrder[PO Line Key (Helper)],tbl_PurchaseOrder[Material Code])</f>
        <v>MAT-00019</v>
      </c>
      <c r="J8" s="9" t="str">
        <f>_xlfn.XLOOKUP(tbl_GoodsReceipt[[#This Row],[Material Code]],tbl_MasterMaterial[Material Code],tbl_MasterMaterial[Material Description])</f>
        <v>Bearing 6205-2RS</v>
      </c>
      <c r="K8" s="12">
        <f>_xlfn.XLOOKUP(tbl_GoodsReceipt[[#This Row],[PO Line Key (Helper)]],tbl_PurchaseOrder[PO Line Key (Helper)],tbl_PurchaseOrder[Ordered Qty])</f>
        <v>100</v>
      </c>
      <c r="L8" s="12" t="str">
        <f>_xlfn.XLOOKUP(tbl_GoodsReceipt[[#This Row],[PO Line Key (Helper)]],tbl_PurchaseOrder[PO Line Key (Helper)],tbl_PurchaseOrder[Purchase UoM])</f>
        <v>PCS</v>
      </c>
      <c r="M8" s="18">
        <f>_xlfn.XLOOKUP(tbl_GoodsReceipt[[#This Row],[PO Line Key (Helper)]],tbl_PurchaseOrder[PO Line Key (Helper)],tbl_PurchaseOrder[Unit Price])</f>
        <v>72000</v>
      </c>
      <c r="N8" s="20">
        <f>_xlfn.XLOOKUP(tbl_GoodsReceipt[[#This Row],[PO Line Key (Helper)]],tbl_PurchaseOrder[PO Line Key (Helper)],tbl_PurchaseOrder[Expected Delivery Date])</f>
        <v>46244</v>
      </c>
      <c r="O8" s="6" t="s">
        <v>238</v>
      </c>
      <c r="P8" s="6" t="s">
        <v>281</v>
      </c>
      <c r="Q8" s="6" t="s">
        <v>239</v>
      </c>
      <c r="R8" s="11">
        <v>100</v>
      </c>
      <c r="S8" s="11">
        <v>100</v>
      </c>
      <c r="T8" s="19">
        <f>tbl_GoodsReceipt[[#This Row],[Received Qty]]-tbl_GoodsReceipt[[#This Row],[Accepted Qty]]</f>
        <v>0</v>
      </c>
      <c r="U8" s="16" t="str">
        <f>IF(tbl_GoodsReceipt[[#This Row],[Accepted Qty]]=0,"Fully Rejected", IF(tbl_GoodsReceipt[[#This Row],[Rejected Qty]]=0,"Fully Accepted","Partialy Accepted"))</f>
        <v>Fully Accepted</v>
      </c>
      <c r="V8" s="6" t="s">
        <v>133</v>
      </c>
      <c r="W8" s="6" t="s">
        <v>247</v>
      </c>
      <c r="X8" s="21">
        <f>tbl_GoodsReceipt[[#This Row],[Received Qty]]-tbl_GoodsReceipt[[#This Row],[Order Qty]]</f>
        <v>0</v>
      </c>
      <c r="Y8" s="13">
        <f>IFERROR(tbl_GoodsReceipt[[#This Row],[Received Variance]]/tbl_GoodsReceipt[[#This Row],[Order Qty]],0)</f>
        <v>0</v>
      </c>
      <c r="Z8" s="13" t="str">
        <f>IF(tbl_GoodsReceipt[[#This Row],[GR Date]]&lt;=tbl_GoodsReceipt[[#This Row],[Expected Delivery Date]],"On-time","Late")</f>
        <v>Late</v>
      </c>
      <c r="AA8" s="10"/>
      <c r="AB8" s="6"/>
      <c r="AC8" s="17" t="str">
        <f>tbl_GoodsReceipt[[#This Row],[GR Number]]&amp;"-"&amp;tbl_GoodsReceipt[[#This Row],[GR Line]]</f>
        <v>GR-2026-0002-30</v>
      </c>
    </row>
    <row r="9" spans="1:29" x14ac:dyDescent="0.25">
      <c r="A9" s="6" t="s">
        <v>136</v>
      </c>
      <c r="B9" s="7">
        <v>10</v>
      </c>
      <c r="C9" s="8">
        <v>46249</v>
      </c>
      <c r="D9" s="6" t="s">
        <v>224</v>
      </c>
      <c r="E9" s="7">
        <v>10</v>
      </c>
      <c r="F9" s="38" t="str">
        <f>tbl_GoodsReceipt[[#This Row],[PO Number]]&amp;"-"&amp;tbl_GoodsReceipt[[#This Row],[PO Line]]</f>
        <v>PO-2026-0006-10</v>
      </c>
      <c r="G9" s="37" t="str">
        <f>_xlfn.XLOOKUP(tbl_GoodsReceipt[[#This Row],[PO Line Key (Helper)]],tbl_PurchaseOrder[PO Line Key (Helper)],tbl_PurchaseOrder[Supplier Code])</f>
        <v>SUP-0004</v>
      </c>
      <c r="H9" s="37" t="str">
        <f>_xlfn.XLOOKUP(tbl_GoodsReceipt[[#This Row],[Supplier Code]],tbl_MasterSupplier[Supplier Code],tbl_MasterSupplier[Supplier Name])</f>
        <v>PT Industrial Lubricants Indonesia</v>
      </c>
      <c r="I9" s="9" t="str">
        <f>_xlfn.XLOOKUP(tbl_GoodsReceipt[[#This Row],[PO Line Key (Helper)]],tbl_PurchaseOrder[PO Line Key (Helper)],tbl_PurchaseOrder[Material Code])</f>
        <v>MAT-00009</v>
      </c>
      <c r="J9" s="9" t="str">
        <f>_xlfn.XLOOKUP(tbl_GoodsReceipt[[#This Row],[Material Code]],tbl_MasterMaterial[Material Code],tbl_MasterMaterial[Material Description])</f>
        <v>Grease Cartridge NLGI2 400g</v>
      </c>
      <c r="K9" s="12">
        <f>_xlfn.XLOOKUP(tbl_GoodsReceipt[[#This Row],[PO Line Key (Helper)]],tbl_PurchaseOrder[PO Line Key (Helper)],tbl_PurchaseOrder[Ordered Qty])</f>
        <v>150</v>
      </c>
      <c r="L9" s="12" t="str">
        <f>_xlfn.XLOOKUP(tbl_GoodsReceipt[[#This Row],[PO Line Key (Helper)]],tbl_PurchaseOrder[PO Line Key (Helper)],tbl_PurchaseOrder[Purchase UoM])</f>
        <v>PCS</v>
      </c>
      <c r="M9" s="18">
        <f>_xlfn.XLOOKUP(tbl_GoodsReceipt[[#This Row],[PO Line Key (Helper)]],tbl_PurchaseOrder[PO Line Key (Helper)],tbl_PurchaseOrder[Unit Price])</f>
        <v>92000</v>
      </c>
      <c r="N9" s="20">
        <f>_xlfn.XLOOKUP(tbl_GoodsReceipt[[#This Row],[PO Line Key (Helper)]],tbl_PurchaseOrder[PO Line Key (Helper)],tbl_PurchaseOrder[Expected Delivery Date])</f>
        <v>46249</v>
      </c>
      <c r="O9" s="6" t="s">
        <v>256</v>
      </c>
      <c r="P9" s="6" t="s">
        <v>281</v>
      </c>
      <c r="Q9" s="6" t="s">
        <v>239</v>
      </c>
      <c r="R9" s="11">
        <v>150</v>
      </c>
      <c r="S9" s="11">
        <v>150</v>
      </c>
      <c r="T9" s="19">
        <f>tbl_GoodsReceipt[[#This Row],[Received Qty]]-tbl_GoodsReceipt[[#This Row],[Accepted Qty]]</f>
        <v>0</v>
      </c>
      <c r="U9" s="16" t="str">
        <f>IF(tbl_GoodsReceipt[[#This Row],[Accepted Qty]]=0,"Fully Rejected", IF(tbl_GoodsReceipt[[#This Row],[Rejected Qty]]=0,"Fully Accepted","Partialy Accepted"))</f>
        <v>Fully Accepted</v>
      </c>
      <c r="V9" s="6" t="s">
        <v>133</v>
      </c>
      <c r="W9" s="6" t="s">
        <v>257</v>
      </c>
      <c r="X9" s="21">
        <f>tbl_GoodsReceipt[[#This Row],[Received Qty]]-tbl_GoodsReceipt[[#This Row],[Order Qty]]</f>
        <v>0</v>
      </c>
      <c r="Y9" s="13">
        <f>IFERROR(tbl_GoodsReceipt[[#This Row],[Received Variance]]/tbl_GoodsReceipt[[#This Row],[Order Qty]],0)</f>
        <v>0</v>
      </c>
      <c r="Z9" s="13" t="str">
        <f>IF(tbl_GoodsReceipt[[#This Row],[GR Date]]&lt;=tbl_GoodsReceipt[[#This Row],[Expected Delivery Date]],"On-time","Late")</f>
        <v>On-time</v>
      </c>
      <c r="AA9" s="10"/>
      <c r="AB9" s="6"/>
      <c r="AC9" s="17" t="str">
        <f>tbl_GoodsReceipt[[#This Row],[GR Number]]&amp;"-"&amp;tbl_GoodsReceipt[[#This Row],[GR Line]]</f>
        <v>GR-2026-0003-10</v>
      </c>
    </row>
    <row r="10" spans="1:29" x14ac:dyDescent="0.25">
      <c r="A10" s="6" t="s">
        <v>136</v>
      </c>
      <c r="B10" s="7">
        <v>20</v>
      </c>
      <c r="C10" s="8">
        <v>46249</v>
      </c>
      <c r="D10" s="6" t="s">
        <v>224</v>
      </c>
      <c r="E10" s="7">
        <v>20</v>
      </c>
      <c r="F10" s="38" t="str">
        <f>tbl_GoodsReceipt[[#This Row],[PO Number]]&amp;"-"&amp;tbl_GoodsReceipt[[#This Row],[PO Line]]</f>
        <v>PO-2026-0006-20</v>
      </c>
      <c r="G10" s="37" t="str">
        <f>_xlfn.XLOOKUP(tbl_GoodsReceipt[[#This Row],[PO Line Key (Helper)]],tbl_PurchaseOrder[PO Line Key (Helper)],tbl_PurchaseOrder[Supplier Code])</f>
        <v>SUP-0004</v>
      </c>
      <c r="H10" s="37" t="str">
        <f>_xlfn.XLOOKUP(tbl_GoodsReceipt[[#This Row],[Supplier Code]],tbl_MasterSupplier[Supplier Code],tbl_MasterSupplier[Supplier Name])</f>
        <v>PT Industrial Lubricants Indonesia</v>
      </c>
      <c r="I10" s="9" t="str">
        <f>_xlfn.XLOOKUP(tbl_GoodsReceipt[[#This Row],[PO Line Key (Helper)]],tbl_PurchaseOrder[PO Line Key (Helper)],tbl_PurchaseOrder[Material Code])</f>
        <v>MAT-00013</v>
      </c>
      <c r="J10" s="9" t="str">
        <f>_xlfn.XLOOKUP(tbl_GoodsReceipt[[#This Row],[Material Code]],tbl_MasterMaterial[Material Code],tbl_MasterMaterial[Material Description])</f>
        <v>Radiator Coolant 20L</v>
      </c>
      <c r="K10" s="12">
        <f>_xlfn.XLOOKUP(tbl_GoodsReceipt[[#This Row],[PO Line Key (Helper)]],tbl_PurchaseOrder[PO Line Key (Helper)],tbl_PurchaseOrder[Ordered Qty])</f>
        <v>80</v>
      </c>
      <c r="L10" s="12" t="str">
        <f>_xlfn.XLOOKUP(tbl_GoodsReceipt[[#This Row],[PO Line Key (Helper)]],tbl_PurchaseOrder[PO Line Key (Helper)],tbl_PurchaseOrder[Purchase UoM])</f>
        <v>LTR</v>
      </c>
      <c r="M10" s="18">
        <f>_xlfn.XLOOKUP(tbl_GoodsReceipt[[#This Row],[PO Line Key (Helper)]],tbl_PurchaseOrder[PO Line Key (Helper)],tbl_PurchaseOrder[Unit Price])</f>
        <v>770000</v>
      </c>
      <c r="N10" s="20">
        <f>_xlfn.XLOOKUP(tbl_GoodsReceipt[[#This Row],[PO Line Key (Helper)]],tbl_PurchaseOrder[PO Line Key (Helper)],tbl_PurchaseOrder[Expected Delivery Date])</f>
        <v>46249</v>
      </c>
      <c r="O10" s="6" t="s">
        <v>256</v>
      </c>
      <c r="P10" s="6" t="s">
        <v>281</v>
      </c>
      <c r="Q10" s="6" t="s">
        <v>239</v>
      </c>
      <c r="R10" s="11">
        <v>80</v>
      </c>
      <c r="S10" s="11">
        <v>80</v>
      </c>
      <c r="T10" s="19">
        <f>tbl_GoodsReceipt[[#This Row],[Received Qty]]-tbl_GoodsReceipt[[#This Row],[Accepted Qty]]</f>
        <v>0</v>
      </c>
      <c r="U10" s="16" t="str">
        <f>IF(tbl_GoodsReceipt[[#This Row],[Accepted Qty]]=0,"Fully Rejected", IF(tbl_GoodsReceipt[[#This Row],[Rejected Qty]]=0,"Fully Accepted","Partialy Accepted"))</f>
        <v>Fully Accepted</v>
      </c>
      <c r="V10" s="6" t="s">
        <v>133</v>
      </c>
      <c r="W10" s="6" t="s">
        <v>257</v>
      </c>
      <c r="X10" s="21">
        <f>tbl_GoodsReceipt[[#This Row],[Received Qty]]-tbl_GoodsReceipt[[#This Row],[Order Qty]]</f>
        <v>0</v>
      </c>
      <c r="Y10" s="13">
        <f>IFERROR(tbl_GoodsReceipt[[#This Row],[Received Variance]]/tbl_GoodsReceipt[[#This Row],[Order Qty]],0)</f>
        <v>0</v>
      </c>
      <c r="Z10" s="13" t="str">
        <f>IF(tbl_GoodsReceipt[[#This Row],[GR Date]]&lt;=tbl_GoodsReceipt[[#This Row],[Expected Delivery Date]],"On-time","Late")</f>
        <v>On-time</v>
      </c>
      <c r="AA10" s="10"/>
      <c r="AB10" s="6"/>
      <c r="AC10" s="17" t="str">
        <f>tbl_GoodsReceipt[[#This Row],[GR Number]]&amp;"-"&amp;tbl_GoodsReceipt[[#This Row],[GR Line]]</f>
        <v>GR-2026-0003-20</v>
      </c>
    </row>
    <row r="11" spans="1:29" x14ac:dyDescent="0.25">
      <c r="A11" s="6" t="s">
        <v>137</v>
      </c>
      <c r="B11" s="7">
        <v>10</v>
      </c>
      <c r="C11" s="8">
        <v>46251</v>
      </c>
      <c r="D11" s="6" t="s">
        <v>122</v>
      </c>
      <c r="E11" s="7">
        <v>10</v>
      </c>
      <c r="F11" s="38" t="str">
        <f>tbl_GoodsReceipt[[#This Row],[PO Number]]&amp;"-"&amp;tbl_GoodsReceipt[[#This Row],[PO Line]]</f>
        <v>PO-2026-0005-10</v>
      </c>
      <c r="G11" s="37" t="str">
        <f>_xlfn.XLOOKUP(tbl_GoodsReceipt[[#This Row],[PO Line Key (Helper)]],tbl_PurchaseOrder[PO Line Key (Helper)],tbl_PurchaseOrder[Supplier Code])</f>
        <v>SUP-0002</v>
      </c>
      <c r="H11" s="37" t="str">
        <f>_xlfn.XLOOKUP(tbl_GoodsReceipt[[#This Row],[Supplier Code]],tbl_MasterSupplier[Supplier Code],tbl_MasterSupplier[Supplier Name])</f>
        <v>PT Precision Fastener Indonesia</v>
      </c>
      <c r="I11" s="9" t="str">
        <f>_xlfn.XLOOKUP(tbl_GoodsReceipt[[#This Row],[PO Line Key (Helper)]],tbl_PurchaseOrder[PO Line Key (Helper)],tbl_PurchaseOrder[Material Code])</f>
        <v>MAT-00014</v>
      </c>
      <c r="J11" s="9" t="str">
        <f>_xlfn.XLOOKUP(tbl_GoodsReceipt[[#This Row],[Material Code]],tbl_MasterMaterial[Material Code],tbl_MasterMaterial[Material Description])</f>
        <v>Flat Washer M12 Zinc Plated</v>
      </c>
      <c r="K11" s="12">
        <f>_xlfn.XLOOKUP(tbl_GoodsReceipt[[#This Row],[PO Line Key (Helper)]],tbl_PurchaseOrder[PO Line Key (Helper)],tbl_PurchaseOrder[Ordered Qty])</f>
        <v>5000</v>
      </c>
      <c r="L11" s="12" t="str">
        <f>_xlfn.XLOOKUP(tbl_GoodsReceipt[[#This Row],[PO Line Key (Helper)]],tbl_PurchaseOrder[PO Line Key (Helper)],tbl_PurchaseOrder[Purchase UoM])</f>
        <v>PCS</v>
      </c>
      <c r="M11" s="18">
        <f>_xlfn.XLOOKUP(tbl_GoodsReceipt[[#This Row],[PO Line Key (Helper)]],tbl_PurchaseOrder[PO Line Key (Helper)],tbl_PurchaseOrder[Unit Price])</f>
        <v>1950</v>
      </c>
      <c r="N11" s="20">
        <f>_xlfn.XLOOKUP(tbl_GoodsReceipt[[#This Row],[PO Line Key (Helper)]],tbl_PurchaseOrder[PO Line Key (Helper)],tbl_PurchaseOrder[Expected Delivery Date])</f>
        <v>46253</v>
      </c>
      <c r="O11" s="6" t="s">
        <v>254</v>
      </c>
      <c r="P11" s="6" t="s">
        <v>284</v>
      </c>
      <c r="Q11" s="6" t="s">
        <v>266</v>
      </c>
      <c r="R11" s="11">
        <v>5000</v>
      </c>
      <c r="S11" s="11">
        <v>5000</v>
      </c>
      <c r="T11" s="19">
        <f>tbl_GoodsReceipt[[#This Row],[Received Qty]]-tbl_GoodsReceipt[[#This Row],[Accepted Qty]]</f>
        <v>0</v>
      </c>
      <c r="U11" s="16" t="str">
        <f>IF(tbl_GoodsReceipt[[#This Row],[Accepted Qty]]=0,"Fully Rejected", IF(tbl_GoodsReceipt[[#This Row],[Rejected Qty]]=0,"Fully Accepted","Partialy Accepted"))</f>
        <v>Fully Accepted</v>
      </c>
      <c r="V11" s="6" t="s">
        <v>133</v>
      </c>
      <c r="W11" s="6" t="s">
        <v>255</v>
      </c>
      <c r="X11" s="21">
        <f>tbl_GoodsReceipt[[#This Row],[Received Qty]]-tbl_GoodsReceipt[[#This Row],[Order Qty]]</f>
        <v>0</v>
      </c>
      <c r="Y11" s="13">
        <f>IFERROR(tbl_GoodsReceipt[[#This Row],[Received Variance]]/tbl_GoodsReceipt[[#This Row],[Order Qty]],0)</f>
        <v>0</v>
      </c>
      <c r="Z11" s="13" t="str">
        <f>IF(tbl_GoodsReceipt[[#This Row],[GR Date]]&lt;=tbl_GoodsReceipt[[#This Row],[Expected Delivery Date]],"On-time","Late")</f>
        <v>On-time</v>
      </c>
      <c r="AA11" s="10"/>
      <c r="AB11" s="6"/>
      <c r="AC11" s="17" t="str">
        <f>tbl_GoodsReceipt[[#This Row],[GR Number]]&amp;"-"&amp;tbl_GoodsReceipt[[#This Row],[GR Line]]</f>
        <v>GR-2026-0004-10</v>
      </c>
    </row>
    <row r="12" spans="1:29" x14ac:dyDescent="0.25">
      <c r="A12" s="6" t="s">
        <v>243</v>
      </c>
      <c r="B12" s="7">
        <v>10</v>
      </c>
      <c r="C12" s="8">
        <v>46251</v>
      </c>
      <c r="D12" s="6" t="s">
        <v>225</v>
      </c>
      <c r="E12" s="7">
        <v>10</v>
      </c>
      <c r="F12" s="38" t="str">
        <f>tbl_GoodsReceipt[[#This Row],[PO Number]]&amp;"-"&amp;tbl_GoodsReceipt[[#This Row],[PO Line]]</f>
        <v>PO-2026-0007-10</v>
      </c>
      <c r="G12" s="37" t="str">
        <f>_xlfn.XLOOKUP(tbl_GoodsReceipt[[#This Row],[PO Line Key (Helper)]],tbl_PurchaseOrder[PO Line Key (Helper)],tbl_PurchaseOrder[Supplier Code])</f>
        <v>SUP-0008</v>
      </c>
      <c r="H12" s="37" t="str">
        <f>_xlfn.XLOOKUP(tbl_GoodsReceipt[[#This Row],[Supplier Code]],tbl_MasterSupplier[Supplier Code],tbl_MasterSupplier[Supplier Name])</f>
        <v>PT Industrial Consumables Indonesia</v>
      </c>
      <c r="I12" s="9" t="str">
        <f>_xlfn.XLOOKUP(tbl_GoodsReceipt[[#This Row],[PO Line Key (Helper)]],tbl_PurchaseOrder[PO Line Key (Helper)],tbl_PurchaseOrder[Material Code])</f>
        <v>MAT-00005</v>
      </c>
      <c r="J12" s="9" t="str">
        <f>_xlfn.XLOOKUP(tbl_GoodsReceipt[[#This Row],[Material Code]],tbl_MasterMaterial[Material Code],tbl_MasterMaterial[Material Description])</f>
        <v>Industrial Degreaser 20L</v>
      </c>
      <c r="K12" s="12">
        <f>_xlfn.XLOOKUP(tbl_GoodsReceipt[[#This Row],[PO Line Key (Helper)]],tbl_PurchaseOrder[PO Line Key (Helper)],tbl_PurchaseOrder[Ordered Qty])</f>
        <v>30</v>
      </c>
      <c r="L12" s="12" t="str">
        <f>_xlfn.XLOOKUP(tbl_GoodsReceipt[[#This Row],[PO Line Key (Helper)]],tbl_PurchaseOrder[PO Line Key (Helper)],tbl_PurchaseOrder[Purchase UoM])</f>
        <v>LTR</v>
      </c>
      <c r="M12" s="18">
        <f>_xlfn.XLOOKUP(tbl_GoodsReceipt[[#This Row],[PO Line Key (Helper)]],tbl_PurchaseOrder[PO Line Key (Helper)],tbl_PurchaseOrder[Unit Price])</f>
        <v>940000</v>
      </c>
      <c r="N12" s="20">
        <f>_xlfn.XLOOKUP(tbl_GoodsReceipt[[#This Row],[PO Line Key (Helper)]],tbl_PurchaseOrder[PO Line Key (Helper)],tbl_PurchaseOrder[Expected Delivery Date])</f>
        <v>46251</v>
      </c>
      <c r="O12" s="6" t="s">
        <v>254</v>
      </c>
      <c r="P12" s="6" t="s">
        <v>284</v>
      </c>
      <c r="Q12" s="6" t="s">
        <v>240</v>
      </c>
      <c r="R12" s="11">
        <v>30</v>
      </c>
      <c r="S12" s="11">
        <v>28</v>
      </c>
      <c r="T12" s="19">
        <f>tbl_GoodsReceipt[[#This Row],[Received Qty]]-tbl_GoodsReceipt[[#This Row],[Accepted Qty]]</f>
        <v>2</v>
      </c>
      <c r="U12" s="16" t="str">
        <f>IF(tbl_GoodsReceipt[[#This Row],[Accepted Qty]]=0,"Fully Rejected", IF(tbl_GoodsReceipt[[#This Row],[Rejected Qty]]=0,"Fully Accepted","Partialy Accepted"))</f>
        <v>Partialy Accepted</v>
      </c>
      <c r="V12" s="6" t="s">
        <v>134</v>
      </c>
      <c r="W12" s="6" t="s">
        <v>259</v>
      </c>
      <c r="X12" s="21">
        <f>tbl_GoodsReceipt[[#This Row],[Received Qty]]-tbl_GoodsReceipt[[#This Row],[Order Qty]]</f>
        <v>0</v>
      </c>
      <c r="Y12" s="13">
        <f>IFERROR(tbl_GoodsReceipt[[#This Row],[Received Variance]]/tbl_GoodsReceipt[[#This Row],[Order Qty]],0)</f>
        <v>0</v>
      </c>
      <c r="Z12" s="13" t="str">
        <f>IF(tbl_GoodsReceipt[[#This Row],[GR Date]]&lt;=tbl_GoodsReceipt[[#This Row],[Expected Delivery Date]],"On-time","Late")</f>
        <v>On-time</v>
      </c>
      <c r="AA12" s="10"/>
      <c r="AB12" s="6" t="s">
        <v>260</v>
      </c>
      <c r="AC12" s="17" t="str">
        <f>tbl_GoodsReceipt[[#This Row],[GR Number]]&amp;"-"&amp;tbl_GoodsReceipt[[#This Row],[GR Line]]</f>
        <v>GR-2026-0005-10</v>
      </c>
    </row>
    <row r="13" spans="1:29" x14ac:dyDescent="0.25">
      <c r="A13" s="6" t="s">
        <v>244</v>
      </c>
      <c r="B13" s="7">
        <v>20</v>
      </c>
      <c r="C13" s="8">
        <v>46253</v>
      </c>
      <c r="D13" s="6" t="s">
        <v>225</v>
      </c>
      <c r="E13" s="7">
        <v>20</v>
      </c>
      <c r="F13" s="38" t="str">
        <f>tbl_GoodsReceipt[[#This Row],[PO Number]]&amp;"-"&amp;tbl_GoodsReceipt[[#This Row],[PO Line]]</f>
        <v>PO-2026-0007-20</v>
      </c>
      <c r="G13" s="37" t="str">
        <f>_xlfn.XLOOKUP(tbl_GoodsReceipt[[#This Row],[PO Line Key (Helper)]],tbl_PurchaseOrder[PO Line Key (Helper)],tbl_PurchaseOrder[Supplier Code])</f>
        <v>SUP-0008</v>
      </c>
      <c r="H13" s="37" t="str">
        <f>_xlfn.XLOOKUP(tbl_GoodsReceipt[[#This Row],[Supplier Code]],tbl_MasterSupplier[Supplier Code],tbl_MasterSupplier[Supplier Name])</f>
        <v>PT Industrial Consumables Indonesia</v>
      </c>
      <c r="I13" s="9" t="str">
        <f>_xlfn.XLOOKUP(tbl_GoodsReceipt[[#This Row],[PO Line Key (Helper)]],tbl_PurchaseOrder[PO Line Key (Helper)],tbl_PurchaseOrder[Material Code])</f>
        <v>MAT-00018</v>
      </c>
      <c r="J13" s="9" t="str">
        <f>_xlfn.XLOOKUP(tbl_GoodsReceipt[[#This Row],[Material Code]],tbl_MasterMaterial[Material Code],tbl_MasterMaterial[Material Description])</f>
        <v>Cabin Air Filter</v>
      </c>
      <c r="K13" s="12">
        <f>_xlfn.XLOOKUP(tbl_GoodsReceipt[[#This Row],[PO Line Key (Helper)]],tbl_PurchaseOrder[PO Line Key (Helper)],tbl_PurchaseOrder[Ordered Qty])</f>
        <v>50</v>
      </c>
      <c r="L13" s="12" t="str">
        <f>_xlfn.XLOOKUP(tbl_GoodsReceipt[[#This Row],[PO Line Key (Helper)]],tbl_PurchaseOrder[PO Line Key (Helper)],tbl_PurchaseOrder[Purchase UoM])</f>
        <v>PCS</v>
      </c>
      <c r="M13" s="18">
        <f>_xlfn.XLOOKUP(tbl_GoodsReceipt[[#This Row],[PO Line Key (Helper)]],tbl_PurchaseOrder[PO Line Key (Helper)],tbl_PurchaseOrder[Unit Price])</f>
        <v>315000</v>
      </c>
      <c r="N13" s="20">
        <f>_xlfn.XLOOKUP(tbl_GoodsReceipt[[#This Row],[PO Line Key (Helper)]],tbl_PurchaseOrder[PO Line Key (Helper)],tbl_PurchaseOrder[Expected Delivery Date])</f>
        <v>46253</v>
      </c>
      <c r="O13" s="6" t="s">
        <v>241</v>
      </c>
      <c r="P13" s="6" t="s">
        <v>284</v>
      </c>
      <c r="Q13" s="6" t="s">
        <v>240</v>
      </c>
      <c r="R13" s="11">
        <v>50</v>
      </c>
      <c r="S13" s="11">
        <v>50</v>
      </c>
      <c r="T13" s="19">
        <f>tbl_GoodsReceipt[[#This Row],[Received Qty]]-tbl_GoodsReceipt[[#This Row],[Accepted Qty]]</f>
        <v>0</v>
      </c>
      <c r="U13" s="16" t="str">
        <f>IF(tbl_GoodsReceipt[[#This Row],[Accepted Qty]]=0,"Fully Rejected", IF(tbl_GoodsReceipt[[#This Row],[Rejected Qty]]=0,"Fully Accepted","Partialy Accepted"))</f>
        <v>Fully Accepted</v>
      </c>
      <c r="V13" s="6" t="s">
        <v>133</v>
      </c>
      <c r="W13" s="6" t="s">
        <v>261</v>
      </c>
      <c r="X13" s="21">
        <f>tbl_GoodsReceipt[[#This Row],[Received Qty]]-tbl_GoodsReceipt[[#This Row],[Order Qty]]</f>
        <v>0</v>
      </c>
      <c r="Y13" s="13">
        <f>IFERROR(tbl_GoodsReceipt[[#This Row],[Received Variance]]/tbl_GoodsReceipt[[#This Row],[Order Qty]],0)</f>
        <v>0</v>
      </c>
      <c r="Z13" s="13" t="str">
        <f>IF(tbl_GoodsReceipt[[#This Row],[GR Date]]&lt;=tbl_GoodsReceipt[[#This Row],[Expected Delivery Date]],"On-time","Late")</f>
        <v>On-time</v>
      </c>
      <c r="AA13" s="10"/>
      <c r="AB13" s="6"/>
      <c r="AC13" s="17" t="str">
        <f>tbl_GoodsReceipt[[#This Row],[GR Number]]&amp;"-"&amp;tbl_GoodsReceipt[[#This Row],[GR Line]]</f>
        <v>GR-2026-0006-20</v>
      </c>
    </row>
    <row r="14" spans="1:29" x14ac:dyDescent="0.25">
      <c r="A14" s="6" t="s">
        <v>258</v>
      </c>
      <c r="B14" s="7">
        <v>10</v>
      </c>
      <c r="C14" s="8">
        <v>46259</v>
      </c>
      <c r="D14" s="6" t="s">
        <v>228</v>
      </c>
      <c r="E14" s="7">
        <v>10</v>
      </c>
      <c r="F14" s="38" t="str">
        <f>tbl_GoodsReceipt[[#This Row],[PO Number]]&amp;"-"&amp;tbl_GoodsReceipt[[#This Row],[PO Line]]</f>
        <v>PO-2026-0010-10</v>
      </c>
      <c r="G14" s="37" t="str">
        <f>_xlfn.XLOOKUP(tbl_GoodsReceipt[[#This Row],[PO Line Key (Helper)]],tbl_PurchaseOrder[PO Line Key (Helper)],tbl_PurchaseOrder[Supplier Code])</f>
        <v>SUP-0010</v>
      </c>
      <c r="H14" s="37" t="str">
        <f>_xlfn.XLOOKUP(tbl_GoodsReceipt[[#This Row],[Supplier Code]],tbl_MasterSupplier[Supplier Code],tbl_MasterSupplier[Supplier Name])</f>
        <v>PT Metal Processing Supply</v>
      </c>
      <c r="I14" s="9" t="str">
        <f>_xlfn.XLOOKUP(tbl_GoodsReceipt[[#This Row],[PO Line Key (Helper)]],tbl_PurchaseOrder[PO Line Key (Helper)],tbl_PurchaseOrder[Material Code])</f>
        <v>MAT-00010</v>
      </c>
      <c r="J14" s="9" t="str">
        <f>_xlfn.XLOOKUP(tbl_GoodsReceipt[[#This Row],[Material Code]],tbl_MasterMaterial[Material Code],tbl_MasterMaterial[Material Description])</f>
        <v>Welding Electrode E7018 3.2mm</v>
      </c>
      <c r="K14" s="12">
        <f>_xlfn.XLOOKUP(tbl_GoodsReceipt[[#This Row],[PO Line Key (Helper)]],tbl_PurchaseOrder[PO Line Key (Helper)],tbl_PurchaseOrder[Ordered Qty])</f>
        <v>250</v>
      </c>
      <c r="L14" s="12" t="str">
        <f>_xlfn.XLOOKUP(tbl_GoodsReceipt[[#This Row],[PO Line Key (Helper)]],tbl_PurchaseOrder[PO Line Key (Helper)],tbl_PurchaseOrder[Purchase UoM])</f>
        <v>KG</v>
      </c>
      <c r="M14" s="18">
        <f>_xlfn.XLOOKUP(tbl_GoodsReceipt[[#This Row],[PO Line Key (Helper)]],tbl_PurchaseOrder[PO Line Key (Helper)],tbl_PurchaseOrder[Unit Price])</f>
        <v>375000</v>
      </c>
      <c r="N14" s="20">
        <f>_xlfn.XLOOKUP(tbl_GoodsReceipt[[#This Row],[PO Line Key (Helper)]],tbl_PurchaseOrder[PO Line Key (Helper)],tbl_PurchaseOrder[Expected Delivery Date])</f>
        <v>46259</v>
      </c>
      <c r="O14" s="6" t="s">
        <v>245</v>
      </c>
      <c r="P14" s="36" t="s">
        <v>281</v>
      </c>
      <c r="Q14" s="6" t="s">
        <v>266</v>
      </c>
      <c r="R14" s="11">
        <v>250</v>
      </c>
      <c r="S14" s="11">
        <v>250</v>
      </c>
      <c r="T14" s="19">
        <f>tbl_GoodsReceipt[[#This Row],[Received Qty]]-tbl_GoodsReceipt[[#This Row],[Accepted Qty]]</f>
        <v>0</v>
      </c>
      <c r="U14" s="16" t="str">
        <f>IF(tbl_GoodsReceipt[[#This Row],[Accepted Qty]]=0,"Fully Rejected", IF(tbl_GoodsReceipt[[#This Row],[Rejected Qty]]=0,"Fully Accepted","Partialy Accepted"))</f>
        <v>Fully Accepted</v>
      </c>
      <c r="V14" s="6" t="s">
        <v>133</v>
      </c>
      <c r="W14" s="6" t="s">
        <v>265</v>
      </c>
      <c r="X14" s="21">
        <f>tbl_GoodsReceipt[[#This Row],[Received Qty]]-tbl_GoodsReceipt[[#This Row],[Order Qty]]</f>
        <v>0</v>
      </c>
      <c r="Y14" s="13">
        <f>IFERROR(tbl_GoodsReceipt[[#This Row],[Received Variance]]/tbl_GoodsReceipt[[#This Row],[Order Qty]],0)</f>
        <v>0</v>
      </c>
      <c r="Z14" s="13" t="str">
        <f>IF(tbl_GoodsReceipt[[#This Row],[GR Date]]&lt;=tbl_GoodsReceipt[[#This Row],[Expected Delivery Date]],"On-time","Late")</f>
        <v>On-time</v>
      </c>
      <c r="AA14" s="10"/>
      <c r="AB14" s="6"/>
      <c r="AC14" s="17" t="str">
        <f>tbl_GoodsReceipt[[#This Row],[GR Number]]&amp;"-"&amp;tbl_GoodsReceipt[[#This Row],[GR Line]]</f>
        <v>GR-2026-0007-10</v>
      </c>
    </row>
    <row r="15" spans="1:29" x14ac:dyDescent="0.25">
      <c r="A15" s="6" t="s">
        <v>262</v>
      </c>
      <c r="B15" s="7">
        <v>10</v>
      </c>
      <c r="C15" s="8">
        <v>46264</v>
      </c>
      <c r="D15" s="6" t="s">
        <v>121</v>
      </c>
      <c r="E15" s="7">
        <v>10</v>
      </c>
      <c r="F15" s="38" t="str">
        <f>tbl_GoodsReceipt[[#This Row],[PO Number]]&amp;"-"&amp;tbl_GoodsReceipt[[#This Row],[PO Line]]</f>
        <v>PO-2026-0004-10</v>
      </c>
      <c r="G15" s="37" t="str">
        <f>_xlfn.XLOOKUP(tbl_GoodsReceipt[[#This Row],[PO Line Key (Helper)]],tbl_PurchaseOrder[PO Line Key (Helper)],tbl_PurchaseOrder[Supplier Code])</f>
        <v>SUP-0009</v>
      </c>
      <c r="H15" s="37" t="str">
        <f>_xlfn.XLOOKUP(tbl_GoodsReceipt[[#This Row],[Supplier Code]],tbl_MasterSupplier[Supplier Code],tbl_MasterSupplier[Supplier Name])</f>
        <v>PT Multi Industrial Trading</v>
      </c>
      <c r="I15" s="9" t="str">
        <f>_xlfn.XLOOKUP(tbl_GoodsReceipt[[#This Row],[PO Line Key (Helper)]],tbl_PurchaseOrder[PO Line Key (Helper)],tbl_PurchaseOrder[Material Code])</f>
        <v>MAT-00002</v>
      </c>
      <c r="J15" s="9" t="str">
        <f>_xlfn.XLOOKUP(tbl_GoodsReceipt[[#This Row],[Material Code]],tbl_MasterMaterial[Material Code],tbl_MasterMaterial[Material Description])</f>
        <v>Steel Plate 10mm x 2m x 1m</v>
      </c>
      <c r="K15" s="12">
        <f>_xlfn.XLOOKUP(tbl_GoodsReceipt[[#This Row],[PO Line Key (Helper)]],tbl_PurchaseOrder[PO Line Key (Helper)],tbl_PurchaseOrder[Ordered Qty])</f>
        <v>20</v>
      </c>
      <c r="L15" s="12" t="str">
        <f>_xlfn.XLOOKUP(tbl_GoodsReceipt[[#This Row],[PO Line Key (Helper)]],tbl_PurchaseOrder[PO Line Key (Helper)],tbl_PurchaseOrder[Purchase UoM])</f>
        <v>PCS</v>
      </c>
      <c r="M15" s="18">
        <f>_xlfn.XLOOKUP(tbl_GoodsReceipt[[#This Row],[PO Line Key (Helper)]],tbl_PurchaseOrder[PO Line Key (Helper)],tbl_PurchaseOrder[Unit Price])</f>
        <v>4150000</v>
      </c>
      <c r="N15" s="20">
        <f>_xlfn.XLOOKUP(tbl_GoodsReceipt[[#This Row],[PO Line Key (Helper)]],tbl_PurchaseOrder[PO Line Key (Helper)],tbl_PurchaseOrder[Expected Delivery Date])</f>
        <v>46262</v>
      </c>
      <c r="O15" s="6" t="s">
        <v>250</v>
      </c>
      <c r="P15" s="6" t="s">
        <v>281</v>
      </c>
      <c r="Q15" s="6" t="s">
        <v>242</v>
      </c>
      <c r="R15" s="11">
        <v>20</v>
      </c>
      <c r="S15" s="11">
        <v>20</v>
      </c>
      <c r="T15" s="19">
        <f>tbl_GoodsReceipt[[#This Row],[Received Qty]]-tbl_GoodsReceipt[[#This Row],[Accepted Qty]]</f>
        <v>0</v>
      </c>
      <c r="U15" s="16" t="str">
        <f>IF(tbl_GoodsReceipt[[#This Row],[Accepted Qty]]=0,"Fully Rejected", IF(tbl_GoodsReceipt[[#This Row],[Rejected Qty]]=0,"Fully Accepted","Partialy Accepted"))</f>
        <v>Fully Accepted</v>
      </c>
      <c r="V15" s="6" t="s">
        <v>133</v>
      </c>
      <c r="W15" s="6" t="s">
        <v>251</v>
      </c>
      <c r="X15" s="21">
        <f>tbl_GoodsReceipt[[#This Row],[Received Qty]]-tbl_GoodsReceipt[[#This Row],[Order Qty]]</f>
        <v>0</v>
      </c>
      <c r="Y15" s="13">
        <f>IFERROR(tbl_GoodsReceipt[[#This Row],[Received Variance]]/tbl_GoodsReceipt[[#This Row],[Order Qty]],0)</f>
        <v>0</v>
      </c>
      <c r="Z15" s="13" t="str">
        <f>IF(tbl_GoodsReceipt[[#This Row],[GR Date]]&lt;=tbl_GoodsReceipt[[#This Row],[Expected Delivery Date]],"On-time","Late")</f>
        <v>Late</v>
      </c>
      <c r="AA15" s="10"/>
      <c r="AB15" s="6" t="s">
        <v>252</v>
      </c>
      <c r="AC15" s="17" t="str">
        <f>tbl_GoodsReceipt[[#This Row],[GR Number]]&amp;"-"&amp;tbl_GoodsReceipt[[#This Row],[GR Line]]</f>
        <v>GR-2026-0008-10</v>
      </c>
    </row>
    <row r="16" spans="1:29" x14ac:dyDescent="0.25">
      <c r="A16" s="6" t="s">
        <v>262</v>
      </c>
      <c r="B16" s="7">
        <v>20</v>
      </c>
      <c r="C16" s="8">
        <v>46264</v>
      </c>
      <c r="D16" s="6" t="s">
        <v>121</v>
      </c>
      <c r="E16" s="7">
        <v>20</v>
      </c>
      <c r="F16" s="38" t="str">
        <f>tbl_GoodsReceipt[[#This Row],[PO Number]]&amp;"-"&amp;tbl_GoodsReceipt[[#This Row],[PO Line]]</f>
        <v>PO-2026-0004-20</v>
      </c>
      <c r="G16" s="37" t="str">
        <f>_xlfn.XLOOKUP(tbl_GoodsReceipt[[#This Row],[PO Line Key (Helper)]],tbl_PurchaseOrder[PO Line Key (Helper)],tbl_PurchaseOrder[Supplier Code])</f>
        <v>SUP-0009</v>
      </c>
      <c r="H16" s="37" t="str">
        <f>_xlfn.XLOOKUP(tbl_GoodsReceipt[[#This Row],[Supplier Code]],tbl_MasterSupplier[Supplier Code],tbl_MasterSupplier[Supplier Name])</f>
        <v>PT Multi Industrial Trading</v>
      </c>
      <c r="I16" s="9" t="str">
        <f>_xlfn.XLOOKUP(tbl_GoodsReceipt[[#This Row],[PO Line Key (Helper)]],tbl_PurchaseOrder[PO Line Key (Helper)],tbl_PurchaseOrder[Material Code])</f>
        <v>MAT-00004</v>
      </c>
      <c r="J16" s="9" t="str">
        <f>_xlfn.XLOOKUP(tbl_GoodsReceipt[[#This Row],[Material Code]],tbl_MasterMaterial[Material Code],tbl_MasterMaterial[Material Description])</f>
        <v>Hex Bolt M12x50 Grade 8.8</v>
      </c>
      <c r="K16" s="12">
        <f>_xlfn.XLOOKUP(tbl_GoodsReceipt[[#This Row],[PO Line Key (Helper)]],tbl_PurchaseOrder[PO Line Key (Helper)],tbl_PurchaseOrder[Ordered Qty])</f>
        <v>2500</v>
      </c>
      <c r="L16" s="12" t="str">
        <f>_xlfn.XLOOKUP(tbl_GoodsReceipt[[#This Row],[PO Line Key (Helper)]],tbl_PurchaseOrder[PO Line Key (Helper)],tbl_PurchaseOrder[Purchase UoM])</f>
        <v>PCS</v>
      </c>
      <c r="M16" s="18">
        <f>_xlfn.XLOOKUP(tbl_GoodsReceipt[[#This Row],[PO Line Key (Helper)]],tbl_PurchaseOrder[PO Line Key (Helper)],tbl_PurchaseOrder[Unit Price])</f>
        <v>7900</v>
      </c>
      <c r="N16" s="20">
        <f>_xlfn.XLOOKUP(tbl_GoodsReceipt[[#This Row],[PO Line Key (Helper)]],tbl_PurchaseOrder[PO Line Key (Helper)],tbl_PurchaseOrder[Expected Delivery Date])</f>
        <v>46251</v>
      </c>
      <c r="O16" s="6" t="s">
        <v>250</v>
      </c>
      <c r="P16" s="6" t="s">
        <v>281</v>
      </c>
      <c r="Q16" s="6" t="s">
        <v>242</v>
      </c>
      <c r="R16" s="11">
        <v>2500</v>
      </c>
      <c r="S16" s="11">
        <v>2500</v>
      </c>
      <c r="T16" s="19">
        <f>tbl_GoodsReceipt[[#This Row],[Received Qty]]-tbl_GoodsReceipt[[#This Row],[Accepted Qty]]</f>
        <v>0</v>
      </c>
      <c r="U16" s="16" t="str">
        <f>IF(tbl_GoodsReceipt[[#This Row],[Accepted Qty]]=0,"Fully Rejected", IF(tbl_GoodsReceipt[[#This Row],[Rejected Qty]]=0,"Fully Accepted","Partialy Accepted"))</f>
        <v>Fully Accepted</v>
      </c>
      <c r="V16" s="6" t="s">
        <v>133</v>
      </c>
      <c r="W16" s="6" t="s">
        <v>253</v>
      </c>
      <c r="X16" s="21">
        <f>tbl_GoodsReceipt[[#This Row],[Received Qty]]-tbl_GoodsReceipt[[#This Row],[Order Qty]]</f>
        <v>0</v>
      </c>
      <c r="Y16" s="13">
        <f>IFERROR(tbl_GoodsReceipt[[#This Row],[Received Variance]]/tbl_GoodsReceipt[[#This Row],[Order Qty]],0)</f>
        <v>0</v>
      </c>
      <c r="Z16" s="13" t="str">
        <f>IF(tbl_GoodsReceipt[[#This Row],[GR Date]]&lt;=tbl_GoodsReceipt[[#This Row],[Expected Delivery Date]],"On-time","Late")</f>
        <v>Late</v>
      </c>
      <c r="AA16" s="10"/>
      <c r="AB16" s="6"/>
      <c r="AC16" s="17" t="str">
        <f>tbl_GoodsReceipt[[#This Row],[GR Number]]&amp;"-"&amp;tbl_GoodsReceipt[[#This Row],[GR Line]]</f>
        <v>GR-2026-0008-20</v>
      </c>
    </row>
    <row r="17" spans="1:29" x14ac:dyDescent="0.25">
      <c r="A17" s="6" t="s">
        <v>267</v>
      </c>
      <c r="B17" s="7">
        <v>10</v>
      </c>
      <c r="C17" s="8">
        <v>46273</v>
      </c>
      <c r="D17" s="6" t="s">
        <v>226</v>
      </c>
      <c r="E17" s="7">
        <v>10</v>
      </c>
      <c r="F17" s="38" t="str">
        <f>tbl_GoodsReceipt[[#This Row],[PO Number]]&amp;"-"&amp;tbl_GoodsReceipt[[#This Row],[PO Line]]</f>
        <v>PO-2026-0008-10</v>
      </c>
      <c r="G17" s="37" t="str">
        <f>_xlfn.XLOOKUP(tbl_GoodsReceipt[[#This Row],[PO Line Key (Helper)]],tbl_PurchaseOrder[PO Line Key (Helper)],tbl_PurchaseOrder[Supplier Code])</f>
        <v>SUP-0001</v>
      </c>
      <c r="H17" s="37" t="str">
        <f>_xlfn.XLOOKUP(tbl_GoodsReceipt[[#This Row],[Supplier Code]],tbl_MasterSupplier[Supplier Code],tbl_MasterSupplier[Supplier Name])</f>
        <v>PT Industrial Steel Supply</v>
      </c>
      <c r="I17" s="9" t="str">
        <f>_xlfn.XLOOKUP(tbl_GoodsReceipt[[#This Row],[PO Line Key (Helper)]],tbl_PurchaseOrder[PO Line Key (Helper)],tbl_PurchaseOrder[Material Code])</f>
        <v>MAT-00017</v>
      </c>
      <c r="J17" s="9" t="str">
        <f>_xlfn.XLOOKUP(tbl_GoodsReceipt[[#This Row],[Material Code]],tbl_MasterMaterial[Material Code],tbl_MasterMaterial[Material Description])</f>
        <v>Steel I-Beam 6m Length</v>
      </c>
      <c r="K17" s="12">
        <f>_xlfn.XLOOKUP(tbl_GoodsReceipt[[#This Row],[PO Line Key (Helper)]],tbl_PurchaseOrder[PO Line Key (Helper)],tbl_PurchaseOrder[Ordered Qty])</f>
        <v>10</v>
      </c>
      <c r="L17" s="12" t="str">
        <f>_xlfn.XLOOKUP(tbl_GoodsReceipt[[#This Row],[PO Line Key (Helper)]],tbl_PurchaseOrder[PO Line Key (Helper)],tbl_PurchaseOrder[Purchase UoM])</f>
        <v>PCS</v>
      </c>
      <c r="M17" s="18">
        <f>_xlfn.XLOOKUP(tbl_GoodsReceipt[[#This Row],[PO Line Key (Helper)]],tbl_PurchaseOrder[PO Line Key (Helper)],tbl_PurchaseOrder[Unit Price])</f>
        <v>5500000</v>
      </c>
      <c r="N17" s="20">
        <f>_xlfn.XLOOKUP(tbl_GoodsReceipt[[#This Row],[PO Line Key (Helper)]],tbl_PurchaseOrder[PO Line Key (Helper)],tbl_PurchaseOrder[Expected Delivery Date])</f>
        <v>46273</v>
      </c>
      <c r="O17" s="6" t="s">
        <v>263</v>
      </c>
      <c r="P17" s="36" t="s">
        <v>281</v>
      </c>
      <c r="Q17" s="6" t="s">
        <v>242</v>
      </c>
      <c r="R17" s="11">
        <v>10</v>
      </c>
      <c r="S17" s="11">
        <v>10</v>
      </c>
      <c r="T17" s="19">
        <f>tbl_GoodsReceipt[[#This Row],[Received Qty]]-tbl_GoodsReceipt[[#This Row],[Accepted Qty]]</f>
        <v>0</v>
      </c>
      <c r="U17" s="16" t="str">
        <f>IF(tbl_GoodsReceipt[[#This Row],[Accepted Qty]]=0,"Fully Rejected", IF(tbl_GoodsReceipt[[#This Row],[Rejected Qty]]=0,"Fully Accepted","Partialy Accepted"))</f>
        <v>Fully Accepted</v>
      </c>
      <c r="V17" s="6" t="s">
        <v>133</v>
      </c>
      <c r="W17" s="6" t="s">
        <v>264</v>
      </c>
      <c r="X17" s="21">
        <f>tbl_GoodsReceipt[[#This Row],[Received Qty]]-tbl_GoodsReceipt[[#This Row],[Order Qty]]</f>
        <v>0</v>
      </c>
      <c r="Y17" s="13">
        <f>IFERROR(tbl_GoodsReceipt[[#This Row],[Received Variance]]/tbl_GoodsReceipt[[#This Row],[Order Qty]],0)</f>
        <v>0</v>
      </c>
      <c r="Z17" s="13" t="str">
        <f>IF(tbl_GoodsReceipt[[#This Row],[GR Date]]&lt;=tbl_GoodsReceipt[[#This Row],[Expected Delivery Date]],"On-time","Late")</f>
        <v>On-time</v>
      </c>
      <c r="AA17" s="10"/>
      <c r="AB17" s="6"/>
      <c r="AC17" s="17" t="str">
        <f>tbl_GoodsReceipt[[#This Row],[GR Number]]&amp;"-"&amp;tbl_GoodsReceipt[[#This Row],[GR Line]]</f>
        <v>GR-2026-0009-10</v>
      </c>
    </row>
    <row r="18" spans="1:29" x14ac:dyDescent="0.25">
      <c r="A18" s="40"/>
      <c r="B18" s="41"/>
      <c r="C18" s="42"/>
      <c r="D18" s="40"/>
      <c r="E18" s="41"/>
      <c r="F18" s="43"/>
      <c r="G18" s="44"/>
      <c r="H18" s="44"/>
      <c r="I18" s="45"/>
      <c r="J18" s="45"/>
      <c r="K18" s="46"/>
      <c r="L18" s="46"/>
      <c r="M18" s="47"/>
      <c r="N18" s="48"/>
      <c r="O18" s="40"/>
      <c r="P18" s="49"/>
      <c r="Q18" s="40"/>
      <c r="R18" s="50"/>
      <c r="S18" s="50"/>
      <c r="T18" s="51"/>
      <c r="U18" s="52"/>
      <c r="V18" s="40"/>
      <c r="W18" s="40"/>
      <c r="X18" s="53"/>
      <c r="Y18" s="54"/>
      <c r="Z18" s="54"/>
      <c r="AA18" s="55"/>
      <c r="AB18" s="40"/>
      <c r="AC18" s="56"/>
    </row>
    <row r="19" spans="1:29" x14ac:dyDescent="0.25">
      <c r="AA19" s="57"/>
    </row>
    <row r="20" spans="1:29" x14ac:dyDescent="0.25">
      <c r="A20" s="4" t="s">
        <v>67</v>
      </c>
      <c r="AA20" s="57"/>
    </row>
    <row r="21" spans="1:29" x14ac:dyDescent="0.25">
      <c r="A21" s="67"/>
      <c r="B21" s="68"/>
      <c r="C21" s="68"/>
      <c r="D21" s="68"/>
      <c r="E21" s="68"/>
      <c r="F21" s="68"/>
      <c r="G21" s="68"/>
      <c r="H21" s="68"/>
      <c r="AA21" s="57"/>
    </row>
    <row r="22" spans="1:29" x14ac:dyDescent="0.25">
      <c r="A22" s="67"/>
      <c r="B22" s="68"/>
      <c r="C22" s="68"/>
      <c r="D22" s="68"/>
      <c r="E22" s="68"/>
      <c r="F22" s="68"/>
      <c r="G22" s="68"/>
      <c r="H22" s="68"/>
    </row>
    <row r="23" spans="1:29" x14ac:dyDescent="0.25">
      <c r="A23" s="67"/>
      <c r="B23" s="68"/>
      <c r="C23" s="68"/>
      <c r="D23" s="68"/>
      <c r="E23" s="68"/>
      <c r="F23" s="68"/>
      <c r="G23" s="68"/>
      <c r="H23" s="68"/>
    </row>
    <row r="24" spans="1:29" x14ac:dyDescent="0.25">
      <c r="A24" s="67"/>
      <c r="B24" s="68"/>
      <c r="C24" s="68"/>
      <c r="D24" s="68"/>
      <c r="E24" s="68"/>
      <c r="F24" s="68"/>
      <c r="G24" s="68"/>
      <c r="H24" s="68"/>
    </row>
    <row r="25" spans="1:29" x14ac:dyDescent="0.25">
      <c r="A25" s="67"/>
      <c r="B25" s="68"/>
      <c r="C25" s="68"/>
      <c r="D25" s="68"/>
      <c r="E25" s="68"/>
      <c r="F25" s="68"/>
      <c r="G25" s="68"/>
      <c r="H25" s="68"/>
    </row>
    <row r="26" spans="1:29" x14ac:dyDescent="0.25">
      <c r="A26" s="67"/>
      <c r="B26" s="68"/>
      <c r="C26" s="68"/>
      <c r="D26" s="68"/>
      <c r="E26" s="68"/>
      <c r="F26" s="68"/>
      <c r="G26" s="68"/>
      <c r="H26" s="68"/>
    </row>
    <row r="27" spans="1:29" x14ac:dyDescent="0.25">
      <c r="A27" s="67"/>
      <c r="B27" s="68"/>
      <c r="C27" s="68"/>
      <c r="D27" s="68"/>
      <c r="E27" s="68"/>
      <c r="F27" s="68"/>
      <c r="G27" s="68"/>
      <c r="H27" s="68"/>
    </row>
    <row r="28" spans="1:29" x14ac:dyDescent="0.25">
      <c r="A28" s="68"/>
      <c r="B28" s="68"/>
      <c r="C28" s="68"/>
      <c r="D28" s="68"/>
      <c r="E28" s="68"/>
      <c r="F28" s="68"/>
      <c r="G28" s="68"/>
      <c r="H28" s="68"/>
    </row>
    <row r="29" spans="1:29" x14ac:dyDescent="0.25">
      <c r="A29" s="68"/>
      <c r="B29" s="68"/>
      <c r="C29" s="68"/>
      <c r="D29" s="68"/>
      <c r="E29" s="68"/>
      <c r="F29" s="68"/>
      <c r="G29" s="68"/>
      <c r="H29" s="68"/>
    </row>
    <row r="30" spans="1:29" x14ac:dyDescent="0.25">
      <c r="A30" s="68"/>
      <c r="B30" s="68"/>
      <c r="C30" s="68"/>
      <c r="D30" s="68"/>
      <c r="E30" s="68"/>
      <c r="F30" s="68"/>
      <c r="G30" s="68"/>
      <c r="H30" s="68"/>
    </row>
    <row r="31" spans="1:29" x14ac:dyDescent="0.25">
      <c r="A31" s="22"/>
      <c r="B31" s="24"/>
      <c r="C31" s="22"/>
      <c r="D31" s="22"/>
      <c r="E31" s="24"/>
      <c r="F31" s="24"/>
      <c r="G31" s="22"/>
      <c r="H31" s="22"/>
      <c r="I31" s="22"/>
      <c r="J31" s="24"/>
      <c r="K31" s="24"/>
      <c r="L31" s="22"/>
      <c r="M31" s="22"/>
      <c r="N31" s="22"/>
      <c r="O31" s="22"/>
    </row>
    <row r="32" spans="1:29" x14ac:dyDescent="0.25">
      <c r="A32" s="23"/>
      <c r="B32" s="29"/>
      <c r="C32" s="30"/>
      <c r="D32" s="23"/>
      <c r="E32" s="29"/>
      <c r="F32" s="29"/>
      <c r="G32" s="23"/>
      <c r="H32" s="23"/>
      <c r="I32" s="23"/>
      <c r="J32" s="29"/>
      <c r="K32" s="29"/>
      <c r="L32" s="23"/>
      <c r="M32" s="23"/>
      <c r="N32" s="23"/>
      <c r="O32" s="23"/>
    </row>
    <row r="33" spans="1:15" x14ac:dyDescent="0.25">
      <c r="A33" s="23"/>
      <c r="B33" s="29"/>
      <c r="C33" s="30"/>
      <c r="D33" s="23"/>
      <c r="E33" s="29"/>
      <c r="F33" s="29"/>
      <c r="G33" s="23"/>
      <c r="H33" s="23"/>
      <c r="I33" s="23"/>
      <c r="J33" s="29"/>
      <c r="K33" s="29"/>
      <c r="L33" s="23"/>
      <c r="M33" s="23"/>
      <c r="N33" s="23"/>
      <c r="O33" s="23"/>
    </row>
    <row r="34" spans="1:15" x14ac:dyDescent="0.25">
      <c r="A34" s="23"/>
      <c r="B34" s="29"/>
      <c r="C34" s="30"/>
      <c r="D34" s="23"/>
      <c r="E34" s="29"/>
      <c r="F34" s="29"/>
      <c r="G34" s="23"/>
      <c r="H34" s="23"/>
      <c r="I34" s="23"/>
      <c r="J34" s="29"/>
      <c r="K34" s="29"/>
      <c r="L34" s="23"/>
      <c r="M34" s="23"/>
      <c r="N34" s="23"/>
      <c r="O34" s="23"/>
    </row>
    <row r="35" spans="1:15" x14ac:dyDescent="0.25">
      <c r="A35" s="23"/>
      <c r="B35" s="29"/>
      <c r="C35" s="30"/>
      <c r="D35" s="23"/>
      <c r="E35" s="29"/>
      <c r="F35" s="29"/>
      <c r="G35" s="23"/>
      <c r="H35" s="23"/>
      <c r="I35" s="23"/>
      <c r="J35" s="29"/>
      <c r="K35" s="29"/>
      <c r="L35" s="23"/>
      <c r="M35" s="23"/>
      <c r="N35" s="23"/>
      <c r="O35" s="23"/>
    </row>
    <row r="36" spans="1:15" x14ac:dyDescent="0.25">
      <c r="A36" s="23"/>
      <c r="B36" s="29"/>
      <c r="C36" s="30"/>
      <c r="D36" s="23"/>
      <c r="E36" s="29"/>
      <c r="F36" s="29"/>
      <c r="G36" s="23"/>
      <c r="H36" s="23"/>
      <c r="I36" s="23"/>
      <c r="J36" s="29"/>
      <c r="K36" s="29"/>
      <c r="L36" s="23"/>
      <c r="M36" s="23"/>
      <c r="N36" s="23"/>
      <c r="O36" s="23"/>
    </row>
    <row r="37" spans="1:15" x14ac:dyDescent="0.25">
      <c r="A37" s="23"/>
      <c r="B37" s="29"/>
      <c r="C37" s="30"/>
      <c r="D37" s="23"/>
      <c r="E37" s="29"/>
      <c r="F37" s="29"/>
      <c r="G37" s="23"/>
      <c r="H37" s="23"/>
      <c r="I37" s="23"/>
      <c r="J37" s="29"/>
      <c r="K37" s="29"/>
      <c r="L37" s="23"/>
      <c r="M37" s="23"/>
      <c r="N37" s="23"/>
      <c r="O37" s="23"/>
    </row>
    <row r="38" spans="1:15" x14ac:dyDescent="0.25">
      <c r="A38" s="23"/>
      <c r="B38" s="29"/>
      <c r="C38" s="30"/>
      <c r="D38" s="23"/>
      <c r="E38" s="29"/>
      <c r="F38" s="29"/>
      <c r="G38" s="23"/>
      <c r="H38" s="23"/>
      <c r="I38" s="23"/>
      <c r="J38" s="29"/>
      <c r="K38" s="29"/>
      <c r="L38" s="23"/>
      <c r="M38" s="23"/>
      <c r="N38" s="23"/>
      <c r="O38" s="23"/>
    </row>
    <row r="39" spans="1:15" x14ac:dyDescent="0.25">
      <c r="A39" s="23"/>
      <c r="B39" s="29"/>
      <c r="C39" s="30"/>
      <c r="D39" s="23"/>
      <c r="E39" s="29"/>
      <c r="F39" s="29"/>
      <c r="G39" s="23"/>
      <c r="H39" s="23"/>
      <c r="I39" s="23"/>
      <c r="J39" s="29"/>
      <c r="K39" s="29"/>
      <c r="L39" s="23"/>
      <c r="M39" s="23"/>
      <c r="N39" s="23"/>
      <c r="O39" s="23"/>
    </row>
    <row r="40" spans="1:15" x14ac:dyDescent="0.25">
      <c r="A40" s="23"/>
      <c r="B40" s="29"/>
      <c r="C40" s="30"/>
      <c r="D40" s="23"/>
      <c r="E40" s="29"/>
      <c r="F40" s="29"/>
      <c r="G40" s="23"/>
      <c r="H40" s="23"/>
      <c r="I40" s="23"/>
      <c r="J40" s="29"/>
      <c r="K40" s="29"/>
      <c r="L40" s="23"/>
      <c r="M40" s="23"/>
      <c r="N40" s="23"/>
      <c r="O40" s="23"/>
    </row>
    <row r="41" spans="1:15" x14ac:dyDescent="0.25">
      <c r="A41" s="23"/>
      <c r="B41" s="29"/>
      <c r="C41" s="30"/>
      <c r="D41" s="23"/>
      <c r="E41" s="29"/>
      <c r="F41" s="29"/>
      <c r="G41" s="23"/>
      <c r="H41" s="23"/>
      <c r="I41" s="23"/>
      <c r="J41" s="29"/>
      <c r="K41" s="29"/>
      <c r="L41" s="23"/>
      <c r="M41" s="23"/>
      <c r="N41" s="23"/>
      <c r="O41" s="23"/>
    </row>
    <row r="42" spans="1:15" x14ac:dyDescent="0.25">
      <c r="A42" s="23"/>
      <c r="B42" s="29"/>
      <c r="C42" s="30"/>
      <c r="D42" s="23"/>
      <c r="E42" s="29"/>
      <c r="F42" s="29"/>
      <c r="G42" s="23"/>
      <c r="H42" s="23"/>
      <c r="I42" s="23"/>
      <c r="J42" s="29"/>
      <c r="K42" s="29"/>
      <c r="L42" s="23"/>
      <c r="M42" s="23"/>
      <c r="N42" s="23"/>
      <c r="O42" s="23"/>
    </row>
    <row r="43" spans="1:15" x14ac:dyDescent="0.25">
      <c r="A43" s="23"/>
      <c r="B43" s="29"/>
      <c r="C43" s="30"/>
      <c r="D43" s="23"/>
      <c r="E43" s="29"/>
      <c r="F43" s="29"/>
      <c r="G43" s="23"/>
      <c r="H43" s="23"/>
      <c r="I43" s="23"/>
      <c r="J43" s="29"/>
      <c r="K43" s="29"/>
      <c r="L43" s="23"/>
      <c r="M43" s="23"/>
      <c r="N43" s="23"/>
      <c r="O43" s="23"/>
    </row>
    <row r="44" spans="1:15" x14ac:dyDescent="0.25">
      <c r="A44" s="23"/>
      <c r="B44" s="29"/>
      <c r="C44" s="30"/>
      <c r="D44" s="23"/>
      <c r="E44" s="29"/>
      <c r="F44" s="29"/>
      <c r="G44" s="23"/>
      <c r="H44" s="23"/>
      <c r="I44" s="23"/>
      <c r="J44" s="29"/>
      <c r="K44" s="29"/>
      <c r="L44" s="23"/>
      <c r="M44" s="23"/>
      <c r="N44" s="23"/>
      <c r="O44" s="23"/>
    </row>
    <row r="45" spans="1:15" x14ac:dyDescent="0.25">
      <c r="A45" s="23"/>
      <c r="B45" s="29"/>
      <c r="C45" s="30"/>
      <c r="D45" s="23"/>
      <c r="E45" s="29"/>
      <c r="F45" s="29"/>
      <c r="G45" s="23"/>
      <c r="H45" s="23"/>
      <c r="I45" s="23"/>
      <c r="J45" s="29"/>
      <c r="K45" s="29"/>
      <c r="L45" s="23"/>
      <c r="M45" s="23"/>
      <c r="N45" s="23"/>
      <c r="O45" s="23"/>
    </row>
  </sheetData>
  <mergeCells count="1">
    <mergeCell ref="A1:AC1"/>
  </mergeCells>
  <phoneticPr fontId="10" type="noConversion"/>
  <conditionalFormatting sqref="S19:S509">
    <cfRule type="expression" dxfId="29" priority="6">
      <formula>$S19="Fully Rejected"</formula>
    </cfRule>
    <cfRule type="expression" dxfId="28" priority="7">
      <formula>$S19="Partially Accepted"</formula>
    </cfRule>
  </conditionalFormatting>
  <conditionalFormatting sqref="U4:U18">
    <cfRule type="expression" dxfId="27" priority="61">
      <formula>$U4="Fully Rejected"</formula>
    </cfRule>
    <cfRule type="expression" dxfId="26" priority="62">
      <formula>$U4="Partially Accepted"</formula>
    </cfRule>
  </conditionalFormatting>
  <conditionalFormatting sqref="X4:X509">
    <cfRule type="expression" dxfId="25" priority="8">
      <formula>$X4&lt;0</formula>
    </cfRule>
  </conditionalFormatting>
  <conditionalFormatting sqref="Z4:Z18">
    <cfRule type="expression" dxfId="24" priority="1">
      <formula>$Z4="Late"</formula>
    </cfRule>
  </conditionalFormatting>
  <conditionalFormatting sqref="AA4:AA509">
    <cfRule type="expression" dxfId="23" priority="9">
      <formula>$AA4="Pending"</formula>
    </cfRule>
  </conditionalFormatting>
  <dataValidations count="4">
    <dataValidation type="list" showInputMessage="1" showErrorMessage="1" errorTitle="Invalid entry" error="Please select a value from the list." promptTitle="Rejection Reason" prompt="Reason for any rejected quantity." sqref="T19:T509 V4:V18" xr:uid="{00000000-0002-0000-0400-000002000000}">
      <formula1>"N/A,Damaged in Transit,Wrong Item,Quality Defect,Quantity Shortage"</formula1>
      <formula2>0</formula2>
    </dataValidation>
    <dataValidation type="list" showInputMessage="1" showErrorMessage="1" errorTitle="Invalid entry" error="Please select a value from the list." promptTitle="Receiving Location (Dock)" prompt="Select the receiving dock used." sqref="V19:V509 P18" xr:uid="{00000000-0002-0000-0400-000003000000}">
      <formula1>"RCV-DOCK-01,RCV-DOCK-02"</formula1>
      <formula2>0</formula2>
    </dataValidation>
    <dataValidation type="list" showInputMessage="1" showErrorMessage="1" errorTitle="Invalid entry" error="Please select a value from the list." promptTitle="Receiving Location (Dock)" prompt="Select the receiving dock used." sqref="P4:P17" xr:uid="{F2DD4E41-77E0-4AE9-ADD8-33DE8AF42AA2}">
      <formula1>"E-01,E-02"</formula1>
    </dataValidation>
    <dataValidation type="list" showInputMessage="1" showErrorMessage="1" sqref="Q5:Q18" xr:uid="{09B3378B-3AFF-4FA3-886F-3469AAAADA3E}">
      <formula1>"Andi,Budi,Rizky,Fandi"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errorTitle="Invalid entry" error="Please select a value from the list." promptTitle="PO Number" prompt="Select the PO Number this receipt is against." xr:uid="{00000000-0002-0000-0400-000000000000}">
          <x14:formula1>
            <xm:f>'04_Purchase_Order'!$A$4:$A$23</xm:f>
          </x14:formula1>
          <x14:formula2>
            <xm:f>0</xm:f>
          </x14:formula2>
          <xm:sqref>D46:D509 D4:D30</xm:sqref>
        </x14:dataValidation>
        <x14:dataValidation type="list" showInputMessage="1" showErrorMessage="1" errorTitle="Invalid entry" error="Please select a value from the list." promptTitle="PO Line" prompt="Select the PO Line this receipt is against." xr:uid="{00000000-0002-0000-0400-000001000000}">
          <x14:formula1>
            <xm:f>'04_Purchase_Order'!$B$4:$B$23</xm:f>
          </x14:formula1>
          <x14:formula2>
            <xm:f>0</xm:f>
          </x14:formula2>
          <xm:sqref>E46:F509 E19:F30 E4:E18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50"/>
  <sheetViews>
    <sheetView showGridLines="0" zoomScale="80" zoomScaleNormal="80" workbookViewId="0">
      <selection sqref="A1:W18"/>
    </sheetView>
  </sheetViews>
  <sheetFormatPr defaultColWidth="8.7109375" defaultRowHeight="15" x14ac:dyDescent="0.25"/>
  <cols>
    <col min="1" max="1" width="16" customWidth="1"/>
    <col min="2" max="2" width="12.28515625" customWidth="1"/>
    <col min="3" max="3" width="12" customWidth="1"/>
    <col min="4" max="4" width="14" customWidth="1"/>
    <col min="5" max="5" width="14.85546875" bestFit="1" customWidth="1"/>
    <col min="6" max="6" width="10.85546875" customWidth="1"/>
    <col min="7" max="7" width="16.7109375" customWidth="1"/>
    <col min="8" max="8" width="13.85546875" customWidth="1"/>
    <col min="9" max="9" width="29.28515625" bestFit="1" customWidth="1"/>
    <col min="10" max="10" width="18.140625" customWidth="1"/>
    <col min="11" max="11" width="10.42578125" customWidth="1"/>
    <col min="12" max="12" width="12.42578125" customWidth="1"/>
    <col min="13" max="13" width="12.28515625" customWidth="1"/>
    <col min="14" max="14" width="12" customWidth="1"/>
    <col min="15" max="16" width="20.140625" customWidth="1"/>
    <col min="17" max="17" width="21.28515625" bestFit="1" customWidth="1"/>
    <col min="18" max="18" width="20.140625" customWidth="1"/>
    <col min="19" max="20" width="28.7109375" customWidth="1"/>
    <col min="21" max="21" width="23" bestFit="1" customWidth="1"/>
    <col min="22" max="22" width="42.140625" bestFit="1" customWidth="1"/>
    <col min="23" max="23" width="21.28515625" bestFit="1" customWidth="1"/>
  </cols>
  <sheetData>
    <row r="1" spans="1:23" ht="24" customHeight="1" x14ac:dyDescent="0.25">
      <c r="A1" s="81" t="s">
        <v>138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</row>
    <row r="3" spans="1:23" ht="31.5" customHeight="1" x14ac:dyDescent="0.25">
      <c r="A3" s="1" t="s">
        <v>296</v>
      </c>
      <c r="B3" s="1" t="s">
        <v>297</v>
      </c>
      <c r="C3" s="1" t="s">
        <v>298</v>
      </c>
      <c r="D3" s="1" t="s">
        <v>126</v>
      </c>
      <c r="E3" s="1" t="s">
        <v>124</v>
      </c>
      <c r="F3" s="1" t="s">
        <v>125</v>
      </c>
      <c r="G3" s="1" t="s">
        <v>131</v>
      </c>
      <c r="H3" s="1" t="s">
        <v>1</v>
      </c>
      <c r="I3" s="1" t="s">
        <v>2</v>
      </c>
      <c r="J3" s="1" t="s">
        <v>129</v>
      </c>
      <c r="K3" s="1" t="s">
        <v>293</v>
      </c>
      <c r="L3" s="1" t="s">
        <v>5</v>
      </c>
      <c r="M3" s="1" t="s">
        <v>302</v>
      </c>
      <c r="N3" s="1" t="s">
        <v>4</v>
      </c>
      <c r="O3" s="1" t="s">
        <v>299</v>
      </c>
      <c r="P3" s="1" t="s">
        <v>316</v>
      </c>
      <c r="Q3" s="1" t="s">
        <v>9</v>
      </c>
      <c r="R3" s="1" t="s">
        <v>300</v>
      </c>
      <c r="S3" s="1" t="s">
        <v>295</v>
      </c>
      <c r="T3" s="1" t="s">
        <v>139</v>
      </c>
      <c r="U3" s="1" t="s">
        <v>301</v>
      </c>
      <c r="V3" s="1" t="s">
        <v>115</v>
      </c>
      <c r="W3" s="1" t="s">
        <v>140</v>
      </c>
    </row>
    <row r="4" spans="1:23" x14ac:dyDescent="0.25">
      <c r="A4" s="6" t="s">
        <v>141</v>
      </c>
      <c r="B4" s="7">
        <v>10</v>
      </c>
      <c r="C4" s="8">
        <v>46244</v>
      </c>
      <c r="D4" s="64">
        <f>_xlfn.XLOOKUP(tbl_PutAway2[[#This Row],[GR Line Key (Helper)]],[1]!tbl_GoodsReceipt[GR Line Key (Helper)],[1]!tbl_GoodsReceipt[GR Date])</f>
        <v>46244</v>
      </c>
      <c r="E4" s="6" t="s">
        <v>132</v>
      </c>
      <c r="F4" s="7">
        <v>10</v>
      </c>
      <c r="G4" s="17" t="str">
        <f>tbl_PutAway2[[#This Row],[GR Number]]&amp;"-"&amp;tbl_PutAway2[[#This Row],[GR Line]]</f>
        <v>GR-2026-0001-10</v>
      </c>
      <c r="H4" s="9" t="str">
        <f>_xlfn.XLOOKUP(tbl_PutAway2[[#This Row],[GR Line Key (Helper)]],[1]!tbl_GoodsReceipt[GR Line Key (Helper)],[1]!tbl_GoodsReceipt[Material Code])</f>
        <v>MAT-00003</v>
      </c>
      <c r="I4" s="9" t="str">
        <f>_xlfn.XLOOKUP(tbl_PutAway2[[#This Row],[Material Code]],[1]!tbl_GoodsReceipt[Material Code],[1]!tbl_GoodsReceipt[Material Description])</f>
        <v>Engine Oil Filter (Cat 320D)</v>
      </c>
      <c r="J4" s="9" t="str">
        <f>_xlfn.XLOOKUP(tbl_PutAway2[[#This Row],[GR Line Key (Helper)]],[1]!tbl_GoodsReceipt[GR Line Key (Helper)],[1]!tbl_GoodsReceipt[Batch/Lot Number])</f>
        <v>LOT-FLT-260810</v>
      </c>
      <c r="K4" s="12">
        <f>_xlfn.XLOOKUP(tbl_PutAway2[[#This Row],[GR Line Key (Helper)]],[1]!tbl_GoodsReceipt[GR Line Key (Helper)],[1]!tbl_GoodsReceipt[Accepted Qty])</f>
        <v>40</v>
      </c>
      <c r="L4" s="12" t="str">
        <f>_xlfn.XLOOKUP(tbl_PutAway2[[#This Row],[GR Line Key (Helper)]],[1]!tbl_GoodsReceipt[GR Line Key (Helper)],[1]!tbl_GoodsReceipt[Purchase UoM])</f>
        <v>PCS</v>
      </c>
      <c r="M4" s="7">
        <v>40</v>
      </c>
      <c r="N4" s="12" t="str">
        <f>_xlfn.XLOOKUP(tbl_PutAway2[[#This Row],[Material Code]],[1]!tbl_MasterMaterial[Material Code],[1]!tbl_MasterMaterial[Base UoM])</f>
        <v>PCS</v>
      </c>
      <c r="O4" s="9" t="str">
        <f>_xlfn.XLOOKUP(tbl_PutAway2[[#This Row],[GR Line Key (Helper)]],[1]!tbl_GoodsReceipt[GR Line Key (Helper)],[1]!tbl_GoodsReceipt[Receiving Dock])</f>
        <v>E-02</v>
      </c>
      <c r="P4" s="65" t="str">
        <f>_xlfn.XLOOKUP(tbl_PutAway2[[#This Row],[Material Code]],[1]!tbl_MasterMaterial[Material Code],[1]!tbl_MasterMaterial[Default Storage Location])</f>
        <v>A-02-01-01</v>
      </c>
      <c r="Q4" s="65" t="str">
        <f>_xlfn.XLOOKUP(tbl_PutAway2[[#This Row],[Material Code]],[1]!tbl_MasterMaterial[Material Code],[1]!tbl_MasterMaterial[Storage/Handling Class])</f>
        <v>Standard</v>
      </c>
      <c r="R4" s="6" t="s">
        <v>153</v>
      </c>
      <c r="S4" s="9" t="str">
        <f>_xlfn.XLOOKUP(tbl_PutAway2[[#This Row],[To Location]],[1]!tbl_MasterLocation[Location Code],[1]!tbl_MasterLocation[Storage/Handling Requirement])</f>
        <v>Standard</v>
      </c>
      <c r="T4" s="66" t="str">
        <f>IF(tbl_PutAway2[[#This Row],[Location Storage/Handling Requirement]]=tbl_PutAway2[[#This Row],[Storage/Handling Class]],"Match","Mismatch - Review")</f>
        <v>Match</v>
      </c>
      <c r="U4" s="16" t="str">
        <f>IF(tbl_PutAway2[[#This Row],[Put Away Qty]]=0,"Pending", IF(tbl_PutAway2[[#This Row],[Put Away Qty]]&lt;tbl_PutAway2[[#This Row],[Accepted Qty]],"Partial","Completed"))</f>
        <v>Completed</v>
      </c>
      <c r="V4" s="6"/>
      <c r="W4" s="17" t="str">
        <f>tbl_PutAway2[[#This Row],[Put Away Number]]&amp;"-"&amp;tbl_PutAway2[[#This Row],[Put Away Line]]</f>
        <v>PA-2026-0001-10</v>
      </c>
    </row>
    <row r="5" spans="1:23" x14ac:dyDescent="0.25">
      <c r="A5" s="6" t="s">
        <v>141</v>
      </c>
      <c r="B5" s="7">
        <v>20</v>
      </c>
      <c r="C5" s="8">
        <v>46244</v>
      </c>
      <c r="D5" s="64">
        <f>_xlfn.XLOOKUP(tbl_PutAway2[[#This Row],[GR Line Key (Helper)]],[1]!tbl_GoodsReceipt[GR Line Key (Helper)],[1]!tbl_GoodsReceipt[GR Date])</f>
        <v>46244</v>
      </c>
      <c r="E5" s="6" t="s">
        <v>132</v>
      </c>
      <c r="F5" s="7">
        <v>20</v>
      </c>
      <c r="G5" s="17" t="str">
        <f>tbl_PutAway2[[#This Row],[GR Number]]&amp;"-"&amp;tbl_PutAway2[[#This Row],[GR Line]]</f>
        <v>GR-2026-0001-20</v>
      </c>
      <c r="H5" s="9" t="str">
        <f>_xlfn.XLOOKUP(tbl_PutAway2[[#This Row],[GR Line Key (Helper)]],[1]!tbl_GoodsReceipt[GR Line Key (Helper)],[1]!tbl_GoodsReceipt[Material Code])</f>
        <v>MAT-00007</v>
      </c>
      <c r="I5" s="9" t="str">
        <f>_xlfn.XLOOKUP(tbl_PutAway2[[#This Row],[Material Code]],[1]!tbl_GoodsReceipt[Material Code],[1]!tbl_GoodsReceipt[Material Description])</f>
        <v>Air Filter Element - Primary</v>
      </c>
      <c r="J5" s="9" t="str">
        <f>_xlfn.XLOOKUP(tbl_PutAway2[[#This Row],[GR Line Key (Helper)]],[1]!tbl_GoodsReceipt[GR Line Key (Helper)],[1]!tbl_GoodsReceipt[Batch/Lot Number])</f>
        <v>LOT-FLT-260810</v>
      </c>
      <c r="K5" s="12">
        <f>_xlfn.XLOOKUP(tbl_PutAway2[[#This Row],[GR Line Key (Helper)]],[1]!tbl_GoodsReceipt[GR Line Key (Helper)],[1]!tbl_GoodsReceipt[Accepted Qty])</f>
        <v>20</v>
      </c>
      <c r="L5" s="12" t="str">
        <f>_xlfn.XLOOKUP(tbl_PutAway2[[#This Row],[GR Line Key (Helper)]],[1]!tbl_GoodsReceipt[GR Line Key (Helper)],[1]!tbl_GoodsReceipt[Purchase UoM])</f>
        <v>PCS</v>
      </c>
      <c r="M5" s="7">
        <v>20</v>
      </c>
      <c r="N5" s="12" t="str">
        <f>_xlfn.XLOOKUP(tbl_PutAway2[[#This Row],[Material Code]],[1]!tbl_MasterMaterial[Material Code],[1]!tbl_MasterMaterial[Base UoM])</f>
        <v>PCS</v>
      </c>
      <c r="O5" s="9" t="str">
        <f>_xlfn.XLOOKUP(tbl_PutAway2[[#This Row],[GR Line Key (Helper)]],[1]!tbl_GoodsReceipt[GR Line Key (Helper)],[1]!tbl_GoodsReceipt[Receiving Dock])</f>
        <v>E-02</v>
      </c>
      <c r="P5" s="65" t="str">
        <f>_xlfn.XLOOKUP(tbl_PutAway2[[#This Row],[Material Code]],[1]!tbl_MasterMaterial[Material Code],[1]!tbl_MasterMaterial[Default Storage Location])</f>
        <v>A-02-01-02</v>
      </c>
      <c r="Q5" s="65" t="str">
        <f>_xlfn.XLOOKUP(tbl_PutAway2[[#This Row],[Material Code]],[1]!tbl_MasterMaterial[Material Code],[1]!tbl_MasterMaterial[Storage/Handling Class])</f>
        <v>Standard</v>
      </c>
      <c r="R5" s="6" t="s">
        <v>157</v>
      </c>
      <c r="S5" s="9" t="str">
        <f>_xlfn.XLOOKUP(tbl_PutAway2[[#This Row],[To Location]],[1]!tbl_MasterLocation[Location Code],[1]!tbl_MasterLocation[Storage/Handling Requirement])</f>
        <v>Standard</v>
      </c>
      <c r="T5" s="66" t="str">
        <f>IF(tbl_PutAway2[[#This Row],[Location Storage/Handling Requirement]]=tbl_PutAway2[[#This Row],[Storage/Handling Class]],"Match","Mismatch - Review")</f>
        <v>Match</v>
      </c>
      <c r="U5" s="16" t="str">
        <f>IF(tbl_PutAway2[[#This Row],[Put Away Qty]]=0,"Pending", IF(tbl_PutAway2[[#This Row],[Put Away Qty]]&lt;tbl_PutAway2[[#This Row],[Accepted Qty]],"Partial","Completed"))</f>
        <v>Completed</v>
      </c>
      <c r="V5" s="6"/>
      <c r="W5" s="17" t="str">
        <f>tbl_PutAway2[[#This Row],[Put Away Number]]&amp;"-"&amp;tbl_PutAway2[[#This Row],[Put Away Line]]</f>
        <v>PA-2026-0001-20</v>
      </c>
    </row>
    <row r="6" spans="1:23" x14ac:dyDescent="0.25">
      <c r="A6" s="6" t="s">
        <v>142</v>
      </c>
      <c r="B6" s="7">
        <v>10</v>
      </c>
      <c r="C6" s="8">
        <v>46249</v>
      </c>
      <c r="D6" s="64">
        <f>_xlfn.XLOOKUP(tbl_PutAway2[[#This Row],[GR Line Key (Helper)]],[1]!tbl_GoodsReceipt[GR Line Key (Helper)],[1]!tbl_GoodsReceipt[GR Date])</f>
        <v>46249</v>
      </c>
      <c r="E6" s="6" t="s">
        <v>135</v>
      </c>
      <c r="F6" s="7">
        <v>10</v>
      </c>
      <c r="G6" s="17" t="str">
        <f>tbl_PutAway2[[#This Row],[GR Number]]&amp;"-"&amp;tbl_PutAway2[[#This Row],[GR Line]]</f>
        <v>GR-2026-0002-10</v>
      </c>
      <c r="H6" s="9" t="str">
        <f>_xlfn.XLOOKUP(tbl_PutAway2[[#This Row],[GR Line Key (Helper)]],[1]!tbl_GoodsReceipt[GR Line Key (Helper)],[1]!tbl_GoodsReceipt[Material Code])</f>
        <v>MAT-00001</v>
      </c>
      <c r="I6" s="9" t="str">
        <f>_xlfn.XLOOKUP(tbl_PutAway2[[#This Row],[Material Code]],[1]!tbl_GoodsReceipt[Material Code],[1]!tbl_GoodsReceipt[Material Description])</f>
        <v>Hydraulic Cylinder Seal Kit 80mm</v>
      </c>
      <c r="J6" s="9" t="str">
        <f>_xlfn.XLOOKUP(tbl_PutAway2[[#This Row],[GR Line Key (Helper)]],[1]!tbl_GoodsReceipt[GR Line Key (Helper)],[1]!tbl_GoodsReceipt[Batch/Lot Number])</f>
        <v>LOT-HYD-260815</v>
      </c>
      <c r="K6" s="12">
        <f>_xlfn.XLOOKUP(tbl_PutAway2[[#This Row],[GR Line Key (Helper)]],[1]!tbl_GoodsReceipt[GR Line Key (Helper)],[1]!tbl_GoodsReceipt[Accepted Qty])</f>
        <v>40</v>
      </c>
      <c r="L6" s="12" t="str">
        <f>_xlfn.XLOOKUP(tbl_PutAway2[[#This Row],[GR Line Key (Helper)]],[1]!tbl_GoodsReceipt[GR Line Key (Helper)],[1]!tbl_GoodsReceipt[Purchase UoM])</f>
        <v>PCS</v>
      </c>
      <c r="M6" s="7">
        <v>40</v>
      </c>
      <c r="N6" s="12" t="str">
        <f>_xlfn.XLOOKUP(tbl_PutAway2[[#This Row],[Material Code]],[1]!tbl_MasterMaterial[Material Code],[1]!tbl_MasterMaterial[Base UoM])</f>
        <v>PCS</v>
      </c>
      <c r="O6" s="9" t="str">
        <f>_xlfn.XLOOKUP(tbl_PutAway2[[#This Row],[GR Line Key (Helper)]],[1]!tbl_GoodsReceipt[GR Line Key (Helper)],[1]!tbl_GoodsReceipt[Receiving Dock])</f>
        <v>E-01</v>
      </c>
      <c r="P6" s="65" t="str">
        <f>_xlfn.XLOOKUP(tbl_PutAway2[[#This Row],[Material Code]],[1]!tbl_MasterMaterial[Material Code],[1]!tbl_MasterMaterial[Default Storage Location])</f>
        <v>A-01-01-01</v>
      </c>
      <c r="Q6" s="65" t="str">
        <f>_xlfn.XLOOKUP(tbl_PutAway2[[#This Row],[Material Code]],[1]!tbl_MasterMaterial[Material Code],[1]!tbl_MasterMaterial[Storage/Handling Class])</f>
        <v>Standard</v>
      </c>
      <c r="R6" s="6" t="s">
        <v>152</v>
      </c>
      <c r="S6" s="9" t="str">
        <f>_xlfn.XLOOKUP(tbl_PutAway2[[#This Row],[To Location]],[1]!tbl_MasterLocation[Location Code],[1]!tbl_MasterLocation[Storage/Handling Requirement])</f>
        <v>Standard</v>
      </c>
      <c r="T6" s="66" t="str">
        <f>IF(tbl_PutAway2[[#This Row],[Location Storage/Handling Requirement]]=tbl_PutAway2[[#This Row],[Storage/Handling Class]],"Match","Mismatch - Review")</f>
        <v>Match</v>
      </c>
      <c r="U6" s="16" t="str">
        <f>IF(tbl_PutAway2[[#This Row],[Put Away Qty]]=0,"Pending", IF(tbl_PutAway2[[#This Row],[Put Away Qty]]&lt;tbl_PutAway2[[#This Row],[Accepted Qty]],"Partial","Completed"))</f>
        <v>Completed</v>
      </c>
      <c r="V6" s="6"/>
      <c r="W6" s="17" t="str">
        <f>tbl_PutAway2[[#This Row],[Put Away Number]]&amp;"-"&amp;tbl_PutAway2[[#This Row],[Put Away Line]]</f>
        <v>PA-2026-0002-10</v>
      </c>
    </row>
    <row r="7" spans="1:23" x14ac:dyDescent="0.25">
      <c r="A7" s="6" t="s">
        <v>142</v>
      </c>
      <c r="B7" s="7">
        <v>20</v>
      </c>
      <c r="C7" s="8">
        <v>46249</v>
      </c>
      <c r="D7" s="64">
        <f>_xlfn.XLOOKUP(tbl_PutAway2[[#This Row],[GR Line Key (Helper)]],[1]!tbl_GoodsReceipt[GR Line Key (Helper)],[1]!tbl_GoodsReceipt[GR Date])</f>
        <v>46249</v>
      </c>
      <c r="E7" s="6" t="s">
        <v>135</v>
      </c>
      <c r="F7" s="7">
        <v>20</v>
      </c>
      <c r="G7" s="17" t="str">
        <f>tbl_PutAway2[[#This Row],[GR Number]]&amp;"-"&amp;tbl_PutAway2[[#This Row],[GR Line]]</f>
        <v>GR-2026-0002-20</v>
      </c>
      <c r="H7" s="9" t="str">
        <f>_xlfn.XLOOKUP(tbl_PutAway2[[#This Row],[GR Line Key (Helper)]],[1]!tbl_GoodsReceipt[GR Line Key (Helper)],[1]!tbl_GoodsReceipt[Material Code])</f>
        <v>MAT-00008</v>
      </c>
      <c r="I7" s="9" t="str">
        <f>_xlfn.XLOOKUP(tbl_PutAway2[[#This Row],[Material Code]],[1]!tbl_GoodsReceipt[Material Code],[1]!tbl_GoodsReceipt[Material Description])</f>
        <v>Hydraulic Hose 1/2in x 3m</v>
      </c>
      <c r="J7" s="9" t="str">
        <f>_xlfn.XLOOKUP(tbl_PutAway2[[#This Row],[GR Line Key (Helper)]],[1]!tbl_GoodsReceipt[GR Line Key (Helper)],[1]!tbl_GoodsReceipt[Batch/Lot Number])</f>
        <v>LOT-HYD-260815</v>
      </c>
      <c r="K7" s="12">
        <f>_xlfn.XLOOKUP(tbl_PutAway2[[#This Row],[GR Line Key (Helper)]],[1]!tbl_GoodsReceipt[GR Line Key (Helper)],[1]!tbl_GoodsReceipt[Accepted Qty])</f>
        <v>20</v>
      </c>
      <c r="L7" s="12" t="str">
        <f>_xlfn.XLOOKUP(tbl_PutAway2[[#This Row],[GR Line Key (Helper)]],[1]!tbl_GoodsReceipt[GR Line Key (Helper)],[1]!tbl_GoodsReceipt[Purchase UoM])</f>
        <v>PCS</v>
      </c>
      <c r="M7" s="7">
        <v>20</v>
      </c>
      <c r="N7" s="12" t="str">
        <f>_xlfn.XLOOKUP(tbl_PutAway2[[#This Row],[Material Code]],[1]!tbl_MasterMaterial[Material Code],[1]!tbl_MasterMaterial[Base UoM])</f>
        <v>PCS</v>
      </c>
      <c r="O7" s="9" t="str">
        <f>_xlfn.XLOOKUP(tbl_PutAway2[[#This Row],[GR Line Key (Helper)]],[1]!tbl_GoodsReceipt[GR Line Key (Helper)],[1]!tbl_GoodsReceipt[Receiving Dock])</f>
        <v>E-01</v>
      </c>
      <c r="P7" s="65" t="str">
        <f>_xlfn.XLOOKUP(tbl_PutAway2[[#This Row],[Material Code]],[1]!tbl_MasterMaterial[Material Code],[1]!tbl_MasterMaterial[Default Storage Location])</f>
        <v>A-01-02-01</v>
      </c>
      <c r="Q7" s="65" t="str">
        <f>_xlfn.XLOOKUP(tbl_PutAway2[[#This Row],[Material Code]],[1]!tbl_MasterMaterial[Material Code],[1]!tbl_MasterMaterial[Storage/Handling Class])</f>
        <v>Standard</v>
      </c>
      <c r="R7" s="6" t="s">
        <v>158</v>
      </c>
      <c r="S7" s="9" t="str">
        <f>_xlfn.XLOOKUP(tbl_PutAway2[[#This Row],[To Location]],[1]!tbl_MasterLocation[Location Code],[1]!tbl_MasterLocation[Storage/Handling Requirement])</f>
        <v>Standard</v>
      </c>
      <c r="T7" s="66" t="str">
        <f>IF(tbl_PutAway2[[#This Row],[Location Storage/Handling Requirement]]=tbl_PutAway2[[#This Row],[Storage/Handling Class]],"Match","Mismatch - Review")</f>
        <v>Match</v>
      </c>
      <c r="U7" s="16" t="str">
        <f>IF(tbl_PutAway2[[#This Row],[Put Away Qty]]=0,"Pending", IF(tbl_PutAway2[[#This Row],[Put Away Qty]]&lt;tbl_PutAway2[[#This Row],[Accepted Qty]],"Partial","Completed"))</f>
        <v>Completed</v>
      </c>
      <c r="V7" s="6"/>
      <c r="W7" s="17" t="str">
        <f>tbl_PutAway2[[#This Row],[Put Away Number]]&amp;"-"&amp;tbl_PutAway2[[#This Row],[Put Away Line]]</f>
        <v>PA-2026-0002-20</v>
      </c>
    </row>
    <row r="8" spans="1:23" x14ac:dyDescent="0.25">
      <c r="A8" s="6" t="s">
        <v>142</v>
      </c>
      <c r="B8" s="7">
        <v>30</v>
      </c>
      <c r="C8" s="8">
        <v>46249</v>
      </c>
      <c r="D8" s="64">
        <f>_xlfn.XLOOKUP(tbl_PutAway2[[#This Row],[GR Line Key (Helper)]],[1]!tbl_GoodsReceipt[GR Line Key (Helper)],[1]!tbl_GoodsReceipt[GR Date])</f>
        <v>46249</v>
      </c>
      <c r="E8" s="6" t="s">
        <v>135</v>
      </c>
      <c r="F8" s="7">
        <v>30</v>
      </c>
      <c r="G8" s="17" t="str">
        <f>tbl_PutAway2[[#This Row],[GR Number]]&amp;"-"&amp;tbl_PutAway2[[#This Row],[GR Line]]</f>
        <v>GR-2026-0002-30</v>
      </c>
      <c r="H8" s="9" t="str">
        <f>_xlfn.XLOOKUP(tbl_PutAway2[[#This Row],[GR Line Key (Helper)]],[1]!tbl_GoodsReceipt[GR Line Key (Helper)],[1]!tbl_GoodsReceipt[Material Code])</f>
        <v>MAT-00019</v>
      </c>
      <c r="I8" s="9" t="str">
        <f>_xlfn.XLOOKUP(tbl_PutAway2[[#This Row],[Material Code]],[1]!tbl_GoodsReceipt[Material Code],[1]!tbl_GoodsReceipt[Material Description])</f>
        <v>Bearing 6205-2RS</v>
      </c>
      <c r="J8" s="9" t="str">
        <f>_xlfn.XLOOKUP(tbl_PutAway2[[#This Row],[GR Line Key (Helper)]],[1]!tbl_GoodsReceipt[GR Line Key (Helper)],[1]!tbl_GoodsReceipt[Batch/Lot Number])</f>
        <v>LOT-BRG-260815</v>
      </c>
      <c r="K8" s="12">
        <f>_xlfn.XLOOKUP(tbl_PutAway2[[#This Row],[GR Line Key (Helper)]],[1]!tbl_GoodsReceipt[GR Line Key (Helper)],[1]!tbl_GoodsReceipt[Accepted Qty])</f>
        <v>100</v>
      </c>
      <c r="L8" s="12" t="str">
        <f>_xlfn.XLOOKUP(tbl_PutAway2[[#This Row],[GR Line Key (Helper)]],[1]!tbl_GoodsReceipt[GR Line Key (Helper)],[1]!tbl_GoodsReceipt[Purchase UoM])</f>
        <v>PCS</v>
      </c>
      <c r="M8" s="7">
        <v>100</v>
      </c>
      <c r="N8" s="12" t="str">
        <f>_xlfn.XLOOKUP(tbl_PutAway2[[#This Row],[Material Code]],[1]!tbl_MasterMaterial[Material Code],[1]!tbl_MasterMaterial[Base UoM])</f>
        <v>PCS</v>
      </c>
      <c r="O8" s="9" t="str">
        <f>_xlfn.XLOOKUP(tbl_PutAway2[[#This Row],[GR Line Key (Helper)]],[1]!tbl_GoodsReceipt[GR Line Key (Helper)],[1]!tbl_GoodsReceipt[Receiving Dock])</f>
        <v>E-01</v>
      </c>
      <c r="P8" s="65" t="str">
        <f>_xlfn.XLOOKUP(tbl_PutAway2[[#This Row],[Material Code]],[1]!tbl_MasterMaterial[Material Code],[1]!tbl_MasterMaterial[Default Storage Location])</f>
        <v>A-01-02-02</v>
      </c>
      <c r="Q8" s="65" t="str">
        <f>_xlfn.XLOOKUP(tbl_PutAway2[[#This Row],[Material Code]],[1]!tbl_MasterMaterial[Material Code],[1]!tbl_MasterMaterial[Storage/Handling Class])</f>
        <v>Standard</v>
      </c>
      <c r="R8" s="6" t="s">
        <v>166</v>
      </c>
      <c r="S8" s="9" t="str">
        <f>_xlfn.XLOOKUP(tbl_PutAway2[[#This Row],[To Location]],[1]!tbl_MasterLocation[Location Code],[1]!tbl_MasterLocation[Storage/Handling Requirement])</f>
        <v>Standard</v>
      </c>
      <c r="T8" s="66" t="str">
        <f>IF(tbl_PutAway2[[#This Row],[Location Storage/Handling Requirement]]=tbl_PutAway2[[#This Row],[Storage/Handling Class]],"Match","Mismatch - Review")</f>
        <v>Match</v>
      </c>
      <c r="U8" s="16" t="str">
        <f>IF(tbl_PutAway2[[#This Row],[Put Away Qty]]=0,"Pending", IF(tbl_PutAway2[[#This Row],[Put Away Qty]]&lt;tbl_PutAway2[[#This Row],[Accepted Qty]],"Partial","Completed"))</f>
        <v>Completed</v>
      </c>
      <c r="V8" s="6"/>
      <c r="W8" s="17" t="str">
        <f>tbl_PutAway2[[#This Row],[Put Away Number]]&amp;"-"&amp;tbl_PutAway2[[#This Row],[Put Away Line]]</f>
        <v>PA-2026-0002-30</v>
      </c>
    </row>
    <row r="9" spans="1:23" x14ac:dyDescent="0.25">
      <c r="A9" s="6" t="s">
        <v>143</v>
      </c>
      <c r="B9" s="7">
        <v>10</v>
      </c>
      <c r="C9" s="8">
        <v>46249</v>
      </c>
      <c r="D9" s="64">
        <f>_xlfn.XLOOKUP(tbl_PutAway2[[#This Row],[GR Line Key (Helper)]],[1]!tbl_GoodsReceipt[GR Line Key (Helper)],[1]!tbl_GoodsReceipt[GR Date])</f>
        <v>46249</v>
      </c>
      <c r="E9" s="6" t="s">
        <v>136</v>
      </c>
      <c r="F9" s="7">
        <v>10</v>
      </c>
      <c r="G9" s="17" t="str">
        <f>tbl_PutAway2[[#This Row],[GR Number]]&amp;"-"&amp;tbl_PutAway2[[#This Row],[GR Line]]</f>
        <v>GR-2026-0003-10</v>
      </c>
      <c r="H9" s="9" t="str">
        <f>_xlfn.XLOOKUP(tbl_PutAway2[[#This Row],[GR Line Key (Helper)]],[1]!tbl_GoodsReceipt[GR Line Key (Helper)],[1]!tbl_GoodsReceipt[Material Code])</f>
        <v>MAT-00009</v>
      </c>
      <c r="I9" s="9" t="str">
        <f>_xlfn.XLOOKUP(tbl_PutAway2[[#This Row],[Material Code]],[1]!tbl_GoodsReceipt[Material Code],[1]!tbl_GoodsReceipt[Material Description])</f>
        <v>Grease Cartridge NLGI2 400g</v>
      </c>
      <c r="J9" s="9" t="str">
        <f>_xlfn.XLOOKUP(tbl_PutAway2[[#This Row],[GR Line Key (Helper)]],[1]!tbl_GoodsReceipt[GR Line Key (Helper)],[1]!tbl_GoodsReceipt[Batch/Lot Number])</f>
        <v>LOT-LUB-260815</v>
      </c>
      <c r="K9" s="12">
        <f>_xlfn.XLOOKUP(tbl_PutAway2[[#This Row],[GR Line Key (Helper)]],[1]!tbl_GoodsReceipt[GR Line Key (Helper)],[1]!tbl_GoodsReceipt[Accepted Qty])</f>
        <v>150</v>
      </c>
      <c r="L9" s="12" t="str">
        <f>_xlfn.XLOOKUP(tbl_PutAway2[[#This Row],[GR Line Key (Helper)]],[1]!tbl_GoodsReceipt[GR Line Key (Helper)],[1]!tbl_GoodsReceipt[Purchase UoM])</f>
        <v>PCS</v>
      </c>
      <c r="M9" s="7">
        <v>150</v>
      </c>
      <c r="N9" s="12" t="str">
        <f>_xlfn.XLOOKUP(tbl_PutAway2[[#This Row],[Material Code]],[1]!tbl_MasterMaterial[Material Code],[1]!tbl_MasterMaterial[Base UoM])</f>
        <v>PCS</v>
      </c>
      <c r="O9" s="9" t="str">
        <f>_xlfn.XLOOKUP(tbl_PutAway2[[#This Row],[GR Line Key (Helper)]],[1]!tbl_GoodsReceipt[GR Line Key (Helper)],[1]!tbl_GoodsReceipt[Receiving Dock])</f>
        <v>E-01</v>
      </c>
      <c r="P9" s="65" t="str">
        <f>_xlfn.XLOOKUP(tbl_PutAway2[[#This Row],[Material Code]],[1]!tbl_MasterMaterial[Material Code],[1]!tbl_MasterMaterial[Default Storage Location])</f>
        <v>D-02-01-01</v>
      </c>
      <c r="Q9" s="65" t="str">
        <f>_xlfn.XLOOKUP(tbl_PutAway2[[#This Row],[Material Code]],[1]!tbl_MasterMaterial[Material Code],[1]!tbl_MasterMaterial[Storage/Handling Class])</f>
        <v>Hazardous</v>
      </c>
      <c r="R9" s="6" t="s">
        <v>155</v>
      </c>
      <c r="S9" s="9" t="str">
        <f>_xlfn.XLOOKUP(tbl_PutAway2[[#This Row],[To Location]],[1]!tbl_MasterLocation[Location Code],[1]!tbl_MasterLocation[Storage/Handling Requirement])</f>
        <v>Hazardous</v>
      </c>
      <c r="T9" s="66" t="str">
        <f>IF(tbl_PutAway2[[#This Row],[Location Storage/Handling Requirement]]=tbl_PutAway2[[#This Row],[Storage/Handling Class]],"Match","Mismatch - Review")</f>
        <v>Match</v>
      </c>
      <c r="U9" s="16" t="str">
        <f>IF(tbl_PutAway2[[#This Row],[Put Away Qty]]=0,"Pending", IF(tbl_PutAway2[[#This Row],[Put Away Qty]]&lt;tbl_PutAway2[[#This Row],[Accepted Qty]],"Partial","Completed"))</f>
        <v>Completed</v>
      </c>
      <c r="V9" s="6"/>
      <c r="W9" s="17" t="str">
        <f>tbl_PutAway2[[#This Row],[Put Away Number]]&amp;"-"&amp;tbl_PutAway2[[#This Row],[Put Away Line]]</f>
        <v>PA-2026-0003-10</v>
      </c>
    </row>
    <row r="10" spans="1:23" x14ac:dyDescent="0.25">
      <c r="A10" s="6" t="s">
        <v>143</v>
      </c>
      <c r="B10" s="7">
        <v>20</v>
      </c>
      <c r="C10" s="8">
        <v>46249</v>
      </c>
      <c r="D10" s="64">
        <f>_xlfn.XLOOKUP(tbl_PutAway2[[#This Row],[GR Line Key (Helper)]],[1]!tbl_GoodsReceipt[GR Line Key (Helper)],[1]!tbl_GoodsReceipt[GR Date])</f>
        <v>46249</v>
      </c>
      <c r="E10" s="6" t="s">
        <v>136</v>
      </c>
      <c r="F10" s="7">
        <v>20</v>
      </c>
      <c r="G10" s="17" t="str">
        <f>tbl_PutAway2[[#This Row],[GR Number]]&amp;"-"&amp;tbl_PutAway2[[#This Row],[GR Line]]</f>
        <v>GR-2026-0003-20</v>
      </c>
      <c r="H10" s="9" t="str">
        <f>_xlfn.XLOOKUP(tbl_PutAway2[[#This Row],[GR Line Key (Helper)]],[1]!tbl_GoodsReceipt[GR Line Key (Helper)],[1]!tbl_GoodsReceipt[Material Code])</f>
        <v>MAT-00013</v>
      </c>
      <c r="I10" s="9" t="str">
        <f>_xlfn.XLOOKUP(tbl_PutAway2[[#This Row],[Material Code]],[1]!tbl_GoodsReceipt[Material Code],[1]!tbl_GoodsReceipt[Material Description])</f>
        <v>Radiator Coolant 20L</v>
      </c>
      <c r="J10" s="9" t="str">
        <f>_xlfn.XLOOKUP(tbl_PutAway2[[#This Row],[GR Line Key (Helper)]],[1]!tbl_GoodsReceipt[GR Line Key (Helper)],[1]!tbl_GoodsReceipt[Batch/Lot Number])</f>
        <v>LOT-LUB-260815</v>
      </c>
      <c r="K10" s="12">
        <f>_xlfn.XLOOKUP(tbl_PutAway2[[#This Row],[GR Line Key (Helper)]],[1]!tbl_GoodsReceipt[GR Line Key (Helper)],[1]!tbl_GoodsReceipt[Accepted Qty])</f>
        <v>80</v>
      </c>
      <c r="L10" s="12" t="str">
        <f>_xlfn.XLOOKUP(tbl_PutAway2[[#This Row],[GR Line Key (Helper)]],[1]!tbl_GoodsReceipt[GR Line Key (Helper)],[1]!tbl_GoodsReceipt[Purchase UoM])</f>
        <v>LTR</v>
      </c>
      <c r="M10" s="7">
        <v>80</v>
      </c>
      <c r="N10" s="12" t="str">
        <f>_xlfn.XLOOKUP(tbl_PutAway2[[#This Row],[Material Code]],[1]!tbl_MasterMaterial[Material Code],[1]!tbl_MasterMaterial[Base UoM])</f>
        <v>LTR</v>
      </c>
      <c r="O10" s="9" t="str">
        <f>_xlfn.XLOOKUP(tbl_PutAway2[[#This Row],[GR Line Key (Helper)]],[1]!tbl_GoodsReceipt[GR Line Key (Helper)],[1]!tbl_GoodsReceipt[Receiving Dock])</f>
        <v>E-01</v>
      </c>
      <c r="P10" s="65" t="str">
        <f>_xlfn.XLOOKUP(tbl_PutAway2[[#This Row],[Material Code]],[1]!tbl_MasterMaterial[Material Code],[1]!tbl_MasterMaterial[Default Storage Location])</f>
        <v>D-02-01-02</v>
      </c>
      <c r="Q10" s="65" t="str">
        <f>_xlfn.XLOOKUP(tbl_PutAway2[[#This Row],[Material Code]],[1]!tbl_MasterMaterial[Material Code],[1]!tbl_MasterMaterial[Storage/Handling Class])</f>
        <v>Hazardous</v>
      </c>
      <c r="R10" s="6" t="s">
        <v>159</v>
      </c>
      <c r="S10" s="9" t="str">
        <f>_xlfn.XLOOKUP(tbl_PutAway2[[#This Row],[To Location]],[1]!tbl_MasterLocation[Location Code],[1]!tbl_MasterLocation[Storage/Handling Requirement])</f>
        <v>Hazardous</v>
      </c>
      <c r="T10" s="66" t="str">
        <f>IF(tbl_PutAway2[[#This Row],[Location Storage/Handling Requirement]]=tbl_PutAway2[[#This Row],[Storage/Handling Class]],"Match","Mismatch - Review")</f>
        <v>Match</v>
      </c>
      <c r="U10" s="16" t="str">
        <f>IF(tbl_PutAway2[[#This Row],[Put Away Qty]]=0,"Pending", IF(tbl_PutAway2[[#This Row],[Put Away Qty]]&lt;tbl_PutAway2[[#This Row],[Accepted Qty]],"Partial","Completed"))</f>
        <v>Completed</v>
      </c>
      <c r="V10" s="6"/>
      <c r="W10" s="17" t="str">
        <f>tbl_PutAway2[[#This Row],[Put Away Number]]&amp;"-"&amp;tbl_PutAway2[[#This Row],[Put Away Line]]</f>
        <v>PA-2026-0003-20</v>
      </c>
    </row>
    <row r="11" spans="1:23" x14ac:dyDescent="0.25">
      <c r="A11" s="6" t="s">
        <v>144</v>
      </c>
      <c r="B11" s="7">
        <v>10</v>
      </c>
      <c r="C11" s="8">
        <v>46251</v>
      </c>
      <c r="D11" s="64">
        <f>_xlfn.XLOOKUP(tbl_PutAway2[[#This Row],[GR Line Key (Helper)]],[1]!tbl_GoodsReceipt[GR Line Key (Helper)],[1]!tbl_GoodsReceipt[GR Date])</f>
        <v>46251</v>
      </c>
      <c r="E11" s="6" t="s">
        <v>137</v>
      </c>
      <c r="F11" s="7">
        <v>10</v>
      </c>
      <c r="G11" s="17" t="str">
        <f>tbl_PutAway2[[#This Row],[GR Number]]&amp;"-"&amp;tbl_PutAway2[[#This Row],[GR Line]]</f>
        <v>GR-2026-0004-10</v>
      </c>
      <c r="H11" s="9" t="str">
        <f>_xlfn.XLOOKUP(tbl_PutAway2[[#This Row],[GR Line Key (Helper)]],[1]!tbl_GoodsReceipt[GR Line Key (Helper)],[1]!tbl_GoodsReceipt[Material Code])</f>
        <v>MAT-00014</v>
      </c>
      <c r="I11" s="9" t="str">
        <f>_xlfn.XLOOKUP(tbl_PutAway2[[#This Row],[Material Code]],[1]!tbl_GoodsReceipt[Material Code],[1]!tbl_GoodsReceipt[Material Description])</f>
        <v>Flat Washer M12 Zinc Plated</v>
      </c>
      <c r="J11" s="9" t="str">
        <f>_xlfn.XLOOKUP(tbl_PutAway2[[#This Row],[GR Line Key (Helper)]],[1]!tbl_GoodsReceipt[GR Line Key (Helper)],[1]!tbl_GoodsReceipt[Batch/Lot Number])</f>
        <v>LOT-FST-260817</v>
      </c>
      <c r="K11" s="12">
        <f>_xlfn.XLOOKUP(tbl_PutAway2[[#This Row],[GR Line Key (Helper)]],[1]!tbl_GoodsReceipt[GR Line Key (Helper)],[1]!tbl_GoodsReceipt[Accepted Qty])</f>
        <v>5000</v>
      </c>
      <c r="L11" s="12" t="str">
        <f>_xlfn.XLOOKUP(tbl_PutAway2[[#This Row],[GR Line Key (Helper)]],[1]!tbl_GoodsReceipt[GR Line Key (Helper)],[1]!tbl_GoodsReceipt[Purchase UoM])</f>
        <v>PCS</v>
      </c>
      <c r="M11" s="7">
        <v>5000</v>
      </c>
      <c r="N11" s="12" t="str">
        <f>_xlfn.XLOOKUP(tbl_PutAway2[[#This Row],[Material Code]],[1]!tbl_MasterMaterial[Material Code],[1]!tbl_MasterMaterial[Base UoM])</f>
        <v>PCS</v>
      </c>
      <c r="O11" s="9" t="str">
        <f>_xlfn.XLOOKUP(tbl_PutAway2[[#This Row],[GR Line Key (Helper)]],[1]!tbl_GoodsReceipt[GR Line Key (Helper)],[1]!tbl_GoodsReceipt[Receiving Dock])</f>
        <v>E-02</v>
      </c>
      <c r="P11" s="65" t="str">
        <f>_xlfn.XLOOKUP(tbl_PutAway2[[#This Row],[Material Code]],[1]!tbl_MasterMaterial[Material Code],[1]!tbl_MasterMaterial[Default Storage Location])</f>
        <v>D-01-01-02</v>
      </c>
      <c r="Q11" s="65" t="str">
        <f>_xlfn.XLOOKUP(tbl_PutAway2[[#This Row],[Material Code]],[1]!tbl_MasterMaterial[Material Code],[1]!tbl_MasterMaterial[Storage/Handling Class])</f>
        <v>Standard</v>
      </c>
      <c r="R11" s="6" t="s">
        <v>162</v>
      </c>
      <c r="S11" s="9" t="str">
        <f>_xlfn.XLOOKUP(tbl_PutAway2[[#This Row],[To Location]],[1]!tbl_MasterLocation[Location Code],[1]!tbl_MasterLocation[Storage/Handling Requirement])</f>
        <v>Standard</v>
      </c>
      <c r="T11" s="66" t="str">
        <f>IF(tbl_PutAway2[[#This Row],[Location Storage/Handling Requirement]]=tbl_PutAway2[[#This Row],[Storage/Handling Class]],"Match","Mismatch - Review")</f>
        <v>Match</v>
      </c>
      <c r="U11" s="16" t="str">
        <f>IF(tbl_PutAway2[[#This Row],[Put Away Qty]]=0,"Pending", IF(tbl_PutAway2[[#This Row],[Put Away Qty]]&lt;tbl_PutAway2[[#This Row],[Accepted Qty]],"Partial","Completed"))</f>
        <v>Completed</v>
      </c>
      <c r="V11" s="6"/>
      <c r="W11" s="17" t="str">
        <f>tbl_PutAway2[[#This Row],[Put Away Number]]&amp;"-"&amp;tbl_PutAway2[[#This Row],[Put Away Line]]</f>
        <v>PA-2026-0004-10</v>
      </c>
    </row>
    <row r="12" spans="1:23" x14ac:dyDescent="0.25">
      <c r="A12" s="6" t="s">
        <v>303</v>
      </c>
      <c r="B12" s="7">
        <v>10</v>
      </c>
      <c r="C12" s="8">
        <v>46251</v>
      </c>
      <c r="D12" s="64">
        <f>_xlfn.XLOOKUP(tbl_PutAway2[[#This Row],[GR Line Key (Helper)]],[1]!tbl_GoodsReceipt[GR Line Key (Helper)],[1]!tbl_GoodsReceipt[GR Date])</f>
        <v>46251</v>
      </c>
      <c r="E12" s="6" t="s">
        <v>243</v>
      </c>
      <c r="F12" s="7">
        <v>10</v>
      </c>
      <c r="G12" s="17" t="str">
        <f>tbl_PutAway2[[#This Row],[GR Number]]&amp;"-"&amp;tbl_PutAway2[[#This Row],[GR Line]]</f>
        <v>GR-2026-0005-10</v>
      </c>
      <c r="H12" s="9" t="str">
        <f>_xlfn.XLOOKUP(tbl_PutAway2[[#This Row],[GR Line Key (Helper)]],[1]!tbl_GoodsReceipt[GR Line Key (Helper)],[1]!tbl_GoodsReceipt[Material Code])</f>
        <v>MAT-00005</v>
      </c>
      <c r="I12" s="9" t="str">
        <f>_xlfn.XLOOKUP(tbl_PutAway2[[#This Row],[Material Code]],[1]!tbl_GoodsReceipt[Material Code],[1]!tbl_GoodsReceipt[Material Description])</f>
        <v>Industrial Degreaser 20L</v>
      </c>
      <c r="J12" s="9" t="str">
        <f>_xlfn.XLOOKUP(tbl_PutAway2[[#This Row],[GR Line Key (Helper)]],[1]!tbl_GoodsReceipt[GR Line Key (Helper)],[1]!tbl_GoodsReceipt[Batch/Lot Number])</f>
        <v>LOT-CHM-260817</v>
      </c>
      <c r="K12" s="12">
        <f>_xlfn.XLOOKUP(tbl_PutAway2[[#This Row],[GR Line Key (Helper)]],[1]!tbl_GoodsReceipt[GR Line Key (Helper)],[1]!tbl_GoodsReceipt[Accepted Qty])</f>
        <v>28</v>
      </c>
      <c r="L12" s="12" t="str">
        <f>_xlfn.XLOOKUP(tbl_PutAway2[[#This Row],[GR Line Key (Helper)]],[1]!tbl_GoodsReceipt[GR Line Key (Helper)],[1]!tbl_GoodsReceipt[Purchase UoM])</f>
        <v>LTR</v>
      </c>
      <c r="M12" s="7">
        <v>28</v>
      </c>
      <c r="N12" s="12" t="str">
        <f>_xlfn.XLOOKUP(tbl_PutAway2[[#This Row],[Material Code]],[1]!tbl_MasterMaterial[Material Code],[1]!tbl_MasterMaterial[Base UoM])</f>
        <v>LTR</v>
      </c>
      <c r="O12" s="9" t="str">
        <f>_xlfn.XLOOKUP(tbl_PutAway2[[#This Row],[GR Line Key (Helper)]],[1]!tbl_GoodsReceipt[GR Line Key (Helper)],[1]!tbl_GoodsReceipt[Receiving Dock])</f>
        <v>E-02</v>
      </c>
      <c r="P12" s="65" t="str">
        <f>_xlfn.XLOOKUP(tbl_PutAway2[[#This Row],[Material Code]],[1]!tbl_MasterMaterial[Material Code],[1]!tbl_MasterMaterial[Default Storage Location])</f>
        <v>D-02-01-01</v>
      </c>
      <c r="Q12" s="65" t="str">
        <f>_xlfn.XLOOKUP(tbl_PutAway2[[#This Row],[Material Code]],[1]!tbl_MasterMaterial[Material Code],[1]!tbl_MasterMaterial[Storage/Handling Class])</f>
        <v>Hazardous</v>
      </c>
      <c r="R12" s="6" t="s">
        <v>155</v>
      </c>
      <c r="S12" s="9" t="str">
        <f>_xlfn.XLOOKUP(tbl_PutAway2[[#This Row],[To Location]],[1]!tbl_MasterLocation[Location Code],[1]!tbl_MasterLocation[Storage/Handling Requirement])</f>
        <v>Hazardous</v>
      </c>
      <c r="T12" s="66" t="str">
        <f>IF(tbl_PutAway2[[#This Row],[Location Storage/Handling Requirement]]=tbl_PutAway2[[#This Row],[Storage/Handling Class]],"Match","Mismatch - Review")</f>
        <v>Match</v>
      </c>
      <c r="U12" s="16" t="str">
        <f>IF(tbl_PutAway2[[#This Row],[Put Away Qty]]=0,"Pending", IF(tbl_PutAway2[[#This Row],[Put Away Qty]]&lt;tbl_PutAway2[[#This Row],[Accepted Qty]],"Partial","Completed"))</f>
        <v>Completed</v>
      </c>
      <c r="V12" s="6"/>
      <c r="W12" s="17" t="str">
        <f>tbl_PutAway2[[#This Row],[Put Away Number]]&amp;"-"&amp;tbl_PutAway2[[#This Row],[Put Away Line]]</f>
        <v>PA-2026-0005-10</v>
      </c>
    </row>
    <row r="13" spans="1:23" x14ac:dyDescent="0.25">
      <c r="A13" s="6" t="s">
        <v>304</v>
      </c>
      <c r="B13" s="7">
        <v>20</v>
      </c>
      <c r="C13" s="8">
        <v>46253</v>
      </c>
      <c r="D13" s="64">
        <f>_xlfn.XLOOKUP(tbl_PutAway2[[#This Row],[GR Line Key (Helper)]],[1]!tbl_GoodsReceipt[GR Line Key (Helper)],[1]!tbl_GoodsReceipt[GR Date])</f>
        <v>46253</v>
      </c>
      <c r="E13" s="6" t="s">
        <v>244</v>
      </c>
      <c r="F13" s="7">
        <v>20</v>
      </c>
      <c r="G13" s="17" t="str">
        <f>tbl_PutAway2[[#This Row],[GR Number]]&amp;"-"&amp;tbl_PutAway2[[#This Row],[GR Line]]</f>
        <v>GR-2026-0006-20</v>
      </c>
      <c r="H13" s="9" t="str">
        <f>_xlfn.XLOOKUP(tbl_PutAway2[[#This Row],[GR Line Key (Helper)]],[1]!tbl_GoodsReceipt[GR Line Key (Helper)],[1]!tbl_GoodsReceipt[Material Code])</f>
        <v>MAT-00018</v>
      </c>
      <c r="I13" s="9" t="str">
        <f>_xlfn.XLOOKUP(tbl_PutAway2[[#This Row],[Material Code]],[1]!tbl_GoodsReceipt[Material Code],[1]!tbl_GoodsReceipt[Material Description])</f>
        <v>Cabin Air Filter</v>
      </c>
      <c r="J13" s="9" t="str">
        <f>_xlfn.XLOOKUP(tbl_PutAway2[[#This Row],[GR Line Key (Helper)]],[1]!tbl_GoodsReceipt[GR Line Key (Helper)],[1]!tbl_GoodsReceipt[Batch/Lot Number])</f>
        <v>LOT-FLT-260819</v>
      </c>
      <c r="K13" s="12">
        <f>_xlfn.XLOOKUP(tbl_PutAway2[[#This Row],[GR Line Key (Helper)]],[1]!tbl_GoodsReceipt[GR Line Key (Helper)],[1]!tbl_GoodsReceipt[Accepted Qty])</f>
        <v>50</v>
      </c>
      <c r="L13" s="12" t="str">
        <f>_xlfn.XLOOKUP(tbl_PutAway2[[#This Row],[GR Line Key (Helper)]],[1]!tbl_GoodsReceipt[GR Line Key (Helper)],[1]!tbl_GoodsReceipt[Purchase UoM])</f>
        <v>PCS</v>
      </c>
      <c r="M13" s="7">
        <v>50</v>
      </c>
      <c r="N13" s="12" t="str">
        <f>_xlfn.XLOOKUP(tbl_PutAway2[[#This Row],[Material Code]],[1]!tbl_MasterMaterial[Material Code],[1]!tbl_MasterMaterial[Base UoM])</f>
        <v>PCS</v>
      </c>
      <c r="O13" s="9" t="str">
        <f>_xlfn.XLOOKUP(tbl_PutAway2[[#This Row],[GR Line Key (Helper)]],[1]!tbl_GoodsReceipt[GR Line Key (Helper)],[1]!tbl_GoodsReceipt[Receiving Dock])</f>
        <v>E-02</v>
      </c>
      <c r="P13" s="65" t="str">
        <f>_xlfn.XLOOKUP(tbl_PutAway2[[#This Row],[Material Code]],[1]!tbl_MasterMaterial[Material Code],[1]!tbl_MasterMaterial[Default Storage Location])</f>
        <v>A-02-01-03</v>
      </c>
      <c r="Q13" s="65" t="str">
        <f>_xlfn.XLOOKUP(tbl_PutAway2[[#This Row],[Material Code]],[1]!tbl_MasterMaterial[Material Code],[1]!tbl_MasterMaterial[Storage/Handling Class])</f>
        <v>Standard</v>
      </c>
      <c r="R13" s="6" t="s">
        <v>165</v>
      </c>
      <c r="S13" s="9" t="str">
        <f>_xlfn.XLOOKUP(tbl_PutAway2[[#This Row],[To Location]],[1]!tbl_MasterLocation[Location Code],[1]!tbl_MasterLocation[Storage/Handling Requirement])</f>
        <v>Standard</v>
      </c>
      <c r="T13" s="66" t="str">
        <f>IF(tbl_PutAway2[[#This Row],[Location Storage/Handling Requirement]]=tbl_PutAway2[[#This Row],[Storage/Handling Class]],"Match","Mismatch - Review")</f>
        <v>Match</v>
      </c>
      <c r="U13" s="16" t="str">
        <f>IF(tbl_PutAway2[[#This Row],[Put Away Qty]]=0,"Pending", IF(tbl_PutAway2[[#This Row],[Put Away Qty]]&lt;tbl_PutAway2[[#This Row],[Accepted Qty]],"Partial","Completed"))</f>
        <v>Completed</v>
      </c>
      <c r="V13" s="6"/>
      <c r="W13" s="17" t="str">
        <f>tbl_PutAway2[[#This Row],[Put Away Number]]&amp;"-"&amp;tbl_PutAway2[[#This Row],[Put Away Line]]</f>
        <v>PA-2026-0006-20</v>
      </c>
    </row>
    <row r="14" spans="1:23" x14ac:dyDescent="0.25">
      <c r="A14" s="6" t="s">
        <v>305</v>
      </c>
      <c r="B14" s="7">
        <v>10</v>
      </c>
      <c r="C14" s="8">
        <v>46259</v>
      </c>
      <c r="D14" s="64">
        <f>_xlfn.XLOOKUP(tbl_PutAway2[[#This Row],[GR Line Key (Helper)]],[1]!tbl_GoodsReceipt[GR Line Key (Helper)],[1]!tbl_GoodsReceipt[GR Date])</f>
        <v>46259</v>
      </c>
      <c r="E14" s="6" t="s">
        <v>258</v>
      </c>
      <c r="F14" s="7">
        <v>10</v>
      </c>
      <c r="G14" s="17" t="str">
        <f>tbl_PutAway2[[#This Row],[GR Number]]&amp;"-"&amp;tbl_PutAway2[[#This Row],[GR Line]]</f>
        <v>GR-2026-0007-10</v>
      </c>
      <c r="H14" s="9" t="str">
        <f>_xlfn.XLOOKUP(tbl_PutAway2[[#This Row],[GR Line Key (Helper)]],[1]!tbl_GoodsReceipt[GR Line Key (Helper)],[1]!tbl_GoodsReceipt[Material Code])</f>
        <v>MAT-00010</v>
      </c>
      <c r="I14" s="9" t="str">
        <f>_xlfn.XLOOKUP(tbl_PutAway2[[#This Row],[Material Code]],[1]!tbl_GoodsReceipt[Material Code],[1]!tbl_GoodsReceipt[Material Description])</f>
        <v>Welding Electrode E7018 3.2mm</v>
      </c>
      <c r="J14" s="9" t="str">
        <f>_xlfn.XLOOKUP(tbl_PutAway2[[#This Row],[GR Line Key (Helper)]],[1]!tbl_GoodsReceipt[GR Line Key (Helper)],[1]!tbl_GoodsReceipt[Batch/Lot Number])</f>
        <v>LOT-WLD-260825</v>
      </c>
      <c r="K14" s="12">
        <f>_xlfn.XLOOKUP(tbl_PutAway2[[#This Row],[GR Line Key (Helper)]],[1]!tbl_GoodsReceipt[GR Line Key (Helper)],[1]!tbl_GoodsReceipt[Accepted Qty])</f>
        <v>250</v>
      </c>
      <c r="L14" s="12" t="str">
        <f>_xlfn.XLOOKUP(tbl_PutAway2[[#This Row],[GR Line Key (Helper)]],[1]!tbl_GoodsReceipt[GR Line Key (Helper)],[1]!tbl_GoodsReceipt[Purchase UoM])</f>
        <v>KG</v>
      </c>
      <c r="M14" s="7">
        <v>250</v>
      </c>
      <c r="N14" s="12" t="str">
        <f>_xlfn.XLOOKUP(tbl_PutAway2[[#This Row],[Material Code]],[1]!tbl_MasterMaterial[Material Code],[1]!tbl_MasterMaterial[Base UoM])</f>
        <v>KG</v>
      </c>
      <c r="O14" s="9" t="str">
        <f>_xlfn.XLOOKUP(tbl_PutAway2[[#This Row],[GR Line Key (Helper)]],[1]!tbl_GoodsReceipt[GR Line Key (Helper)],[1]!tbl_GoodsReceipt[Receiving Dock])</f>
        <v>E-01</v>
      </c>
      <c r="P14" s="65" t="str">
        <f>_xlfn.XLOOKUP(tbl_PutAway2[[#This Row],[Material Code]],[1]!tbl_MasterMaterial[Material Code],[1]!tbl_MasterMaterial[Default Storage Location])</f>
        <v>D-01-01-02</v>
      </c>
      <c r="Q14" s="65" t="str">
        <f>_xlfn.XLOOKUP(tbl_PutAway2[[#This Row],[Material Code]],[1]!tbl_MasterMaterial[Material Code],[1]!tbl_MasterMaterial[Storage/Handling Class])</f>
        <v>Standard</v>
      </c>
      <c r="R14" s="6" t="s">
        <v>162</v>
      </c>
      <c r="S14" s="9" t="str">
        <f>_xlfn.XLOOKUP(tbl_PutAway2[[#This Row],[To Location]],[1]!tbl_MasterLocation[Location Code],[1]!tbl_MasterLocation[Storage/Handling Requirement])</f>
        <v>Standard</v>
      </c>
      <c r="T14" s="66" t="str">
        <f>IF(tbl_PutAway2[[#This Row],[Location Storage/Handling Requirement]]=tbl_PutAway2[[#This Row],[Storage/Handling Class]],"Match","Mismatch - Review")</f>
        <v>Match</v>
      </c>
      <c r="U14" s="16" t="str">
        <f>IF(tbl_PutAway2[[#This Row],[Put Away Qty]]=0,"Pending", IF(tbl_PutAway2[[#This Row],[Put Away Qty]]&lt;tbl_PutAway2[[#This Row],[Accepted Qty]],"Partial","Completed"))</f>
        <v>Completed</v>
      </c>
      <c r="V14" s="6"/>
      <c r="W14" s="17" t="str">
        <f>tbl_PutAway2[[#This Row],[Put Away Number]]&amp;"-"&amp;tbl_PutAway2[[#This Row],[Put Away Line]]</f>
        <v>PA-2026-0007-10</v>
      </c>
    </row>
    <row r="15" spans="1:23" x14ac:dyDescent="0.25">
      <c r="A15" s="6" t="s">
        <v>306</v>
      </c>
      <c r="B15" s="7">
        <v>10</v>
      </c>
      <c r="C15" s="8">
        <v>46264</v>
      </c>
      <c r="D15" s="64">
        <f>_xlfn.XLOOKUP(tbl_PutAway2[[#This Row],[GR Line Key (Helper)]],[1]!tbl_GoodsReceipt[GR Line Key (Helper)],[1]!tbl_GoodsReceipt[GR Date])</f>
        <v>46264</v>
      </c>
      <c r="E15" s="6" t="s">
        <v>262</v>
      </c>
      <c r="F15" s="7">
        <v>10</v>
      </c>
      <c r="G15" s="17" t="str">
        <f>tbl_PutAway2[[#This Row],[GR Number]]&amp;"-"&amp;tbl_PutAway2[[#This Row],[GR Line]]</f>
        <v>GR-2026-0008-10</v>
      </c>
      <c r="H15" s="9" t="str">
        <f>_xlfn.XLOOKUP(tbl_PutAway2[[#This Row],[GR Line Key (Helper)]],[1]!tbl_GoodsReceipt[GR Line Key (Helper)],[1]!tbl_GoodsReceipt[Material Code])</f>
        <v>MAT-00002</v>
      </c>
      <c r="I15" s="9" t="str">
        <f>_xlfn.XLOOKUP(tbl_PutAway2[[#This Row],[Material Code]],[1]!tbl_GoodsReceipt[Material Code],[1]!tbl_GoodsReceipt[Material Description])</f>
        <v>Steel Plate 10mm x 2m x 1m</v>
      </c>
      <c r="J15" s="9" t="str">
        <f>_xlfn.XLOOKUP(tbl_PutAway2[[#This Row],[GR Line Key (Helper)]],[1]!tbl_GoodsReceipt[GR Line Key (Helper)],[1]!tbl_GoodsReceipt[Batch/Lot Number])</f>
        <v>LOT-STEEL-260830</v>
      </c>
      <c r="K15" s="12">
        <f>_xlfn.XLOOKUP(tbl_PutAway2[[#This Row],[GR Line Key (Helper)]],[1]!tbl_GoodsReceipt[GR Line Key (Helper)],[1]!tbl_GoodsReceipt[Accepted Qty])</f>
        <v>20</v>
      </c>
      <c r="L15" s="12" t="str">
        <f>_xlfn.XLOOKUP(tbl_PutAway2[[#This Row],[GR Line Key (Helper)]],[1]!tbl_GoodsReceipt[GR Line Key (Helper)],[1]!tbl_GoodsReceipt[Purchase UoM])</f>
        <v>PCS</v>
      </c>
      <c r="M15" s="7">
        <v>20</v>
      </c>
      <c r="N15" s="12" t="str">
        <f>_xlfn.XLOOKUP(tbl_PutAway2[[#This Row],[Material Code]],[1]!tbl_MasterMaterial[Material Code],[1]!tbl_MasterMaterial[Base UoM])</f>
        <v>PCS</v>
      </c>
      <c r="O15" s="9" t="str">
        <f>_xlfn.XLOOKUP(tbl_PutAway2[[#This Row],[GR Line Key (Helper)]],[1]!tbl_GoodsReceipt[GR Line Key (Helper)],[1]!tbl_GoodsReceipt[Receiving Dock])</f>
        <v>E-01</v>
      </c>
      <c r="P15" s="65" t="str">
        <f>_xlfn.XLOOKUP(tbl_PutAway2[[#This Row],[Material Code]],[1]!tbl_MasterMaterial[Material Code],[1]!tbl_MasterMaterial[Default Storage Location])</f>
        <v>C-01-01</v>
      </c>
      <c r="Q15" s="65" t="str">
        <f>_xlfn.XLOOKUP(tbl_PutAway2[[#This Row],[Material Code]],[1]!tbl_MasterMaterial[Material Code],[1]!tbl_MasterMaterial[Storage/Handling Class])</f>
        <v>Heavy/Bulk</v>
      </c>
      <c r="R15" s="6" t="s">
        <v>269</v>
      </c>
      <c r="S15" s="9" t="str">
        <f>_xlfn.XLOOKUP(tbl_PutAway2[[#This Row],[To Location]],[1]!tbl_MasterLocation[Location Code],[1]!tbl_MasterLocation[Storage/Handling Requirement])</f>
        <v>Heavy/Bulk</v>
      </c>
      <c r="T15" s="66" t="str">
        <f>IF(tbl_PutAway2[[#This Row],[Location Storage/Handling Requirement]]=tbl_PutAway2[[#This Row],[Storage/Handling Class]],"Match","Mismatch - Review")</f>
        <v>Match</v>
      </c>
      <c r="U15" s="16" t="str">
        <f>IF(tbl_PutAway2[[#This Row],[Put Away Qty]]=0,"Pending", IF(tbl_PutAway2[[#This Row],[Put Away Qty]]&lt;tbl_PutAway2[[#This Row],[Accepted Qty]],"Partial","Completed"))</f>
        <v>Completed</v>
      </c>
      <c r="V15" s="6"/>
      <c r="W15" s="17" t="str">
        <f>tbl_PutAway2[[#This Row],[Put Away Number]]&amp;"-"&amp;tbl_PutAway2[[#This Row],[Put Away Line]]</f>
        <v>PA-2026-0008-10</v>
      </c>
    </row>
    <row r="16" spans="1:23" x14ac:dyDescent="0.25">
      <c r="A16" s="6" t="s">
        <v>306</v>
      </c>
      <c r="B16" s="7">
        <v>20</v>
      </c>
      <c r="C16" s="8">
        <v>46264</v>
      </c>
      <c r="D16" s="64">
        <f>_xlfn.XLOOKUP(tbl_PutAway2[[#This Row],[GR Line Key (Helper)]],[1]!tbl_GoodsReceipt[GR Line Key (Helper)],[1]!tbl_GoodsReceipt[GR Date])</f>
        <v>46264</v>
      </c>
      <c r="E16" s="6" t="s">
        <v>262</v>
      </c>
      <c r="F16" s="7">
        <v>20</v>
      </c>
      <c r="G16" s="17" t="str">
        <f>tbl_PutAway2[[#This Row],[GR Number]]&amp;"-"&amp;tbl_PutAway2[[#This Row],[GR Line]]</f>
        <v>GR-2026-0008-20</v>
      </c>
      <c r="H16" s="9" t="str">
        <f>_xlfn.XLOOKUP(tbl_PutAway2[[#This Row],[GR Line Key (Helper)]],[1]!tbl_GoodsReceipt[GR Line Key (Helper)],[1]!tbl_GoodsReceipt[Material Code])</f>
        <v>MAT-00004</v>
      </c>
      <c r="I16" s="9" t="str">
        <f>_xlfn.XLOOKUP(tbl_PutAway2[[#This Row],[Material Code]],[1]!tbl_GoodsReceipt[Material Code],[1]!tbl_GoodsReceipt[Material Description])</f>
        <v>Hex Bolt M12x50 Grade 8.8</v>
      </c>
      <c r="J16" s="9" t="str">
        <f>_xlfn.XLOOKUP(tbl_PutAway2[[#This Row],[GR Line Key (Helper)]],[1]!tbl_GoodsReceipt[GR Line Key (Helper)],[1]!tbl_GoodsReceipt[Batch/Lot Number])</f>
        <v>LOT-BOLT-260830</v>
      </c>
      <c r="K16" s="12">
        <f>_xlfn.XLOOKUP(tbl_PutAway2[[#This Row],[GR Line Key (Helper)]],[1]!tbl_GoodsReceipt[GR Line Key (Helper)],[1]!tbl_GoodsReceipt[Accepted Qty])</f>
        <v>2500</v>
      </c>
      <c r="L16" s="12" t="str">
        <f>_xlfn.XLOOKUP(tbl_PutAway2[[#This Row],[GR Line Key (Helper)]],[1]!tbl_GoodsReceipt[GR Line Key (Helper)],[1]!tbl_GoodsReceipt[Purchase UoM])</f>
        <v>PCS</v>
      </c>
      <c r="M16" s="7">
        <v>2500</v>
      </c>
      <c r="N16" s="12" t="str">
        <f>_xlfn.XLOOKUP(tbl_PutAway2[[#This Row],[Material Code]],[1]!tbl_MasterMaterial[Material Code],[1]!tbl_MasterMaterial[Base UoM])</f>
        <v>PCS</v>
      </c>
      <c r="O16" s="9" t="str">
        <f>_xlfn.XLOOKUP(tbl_PutAway2[[#This Row],[GR Line Key (Helper)]],[1]!tbl_GoodsReceipt[GR Line Key (Helper)],[1]!tbl_GoodsReceipt[Receiving Dock])</f>
        <v>E-01</v>
      </c>
      <c r="P16" s="65" t="str">
        <f>_xlfn.XLOOKUP(tbl_PutAway2[[#This Row],[Material Code]],[1]!tbl_MasterMaterial[Material Code],[1]!tbl_MasterMaterial[Default Storage Location])</f>
        <v>D-01-01-01</v>
      </c>
      <c r="Q16" s="65" t="str">
        <f>_xlfn.XLOOKUP(tbl_PutAway2[[#This Row],[Material Code]],[1]!tbl_MasterMaterial[Material Code],[1]!tbl_MasterMaterial[Storage/Handling Class])</f>
        <v>Standard</v>
      </c>
      <c r="R16" s="6" t="s">
        <v>154</v>
      </c>
      <c r="S16" s="9" t="str">
        <f>_xlfn.XLOOKUP(tbl_PutAway2[[#This Row],[To Location]],[1]!tbl_MasterLocation[Location Code],[1]!tbl_MasterLocation[Storage/Handling Requirement])</f>
        <v>Standard</v>
      </c>
      <c r="T16" s="66" t="str">
        <f>IF(tbl_PutAway2[[#This Row],[Location Storage/Handling Requirement]]=tbl_PutAway2[[#This Row],[Storage/Handling Class]],"Match","Mismatch - Review")</f>
        <v>Match</v>
      </c>
      <c r="U16" s="16" t="str">
        <f>IF(tbl_PutAway2[[#This Row],[Put Away Qty]]=0,"Pending", IF(tbl_PutAway2[[#This Row],[Put Away Qty]]&lt;tbl_PutAway2[[#This Row],[Accepted Qty]],"Partial","Completed"))</f>
        <v>Completed</v>
      </c>
      <c r="V16" s="6"/>
      <c r="W16" s="17" t="str">
        <f>tbl_PutAway2[[#This Row],[Put Away Number]]&amp;"-"&amp;tbl_PutAway2[[#This Row],[Put Away Line]]</f>
        <v>PA-2026-0008-20</v>
      </c>
    </row>
    <row r="17" spans="1:23" x14ac:dyDescent="0.25">
      <c r="A17" s="6" t="s">
        <v>307</v>
      </c>
      <c r="B17" s="7">
        <v>10</v>
      </c>
      <c r="C17" s="8">
        <v>46273</v>
      </c>
      <c r="D17" s="64">
        <f>_xlfn.XLOOKUP(tbl_PutAway2[[#This Row],[GR Line Key (Helper)]],[1]!tbl_GoodsReceipt[GR Line Key (Helper)],[1]!tbl_GoodsReceipt[GR Date])</f>
        <v>46273</v>
      </c>
      <c r="E17" s="6" t="s">
        <v>267</v>
      </c>
      <c r="F17" s="7">
        <v>10</v>
      </c>
      <c r="G17" s="17" t="str">
        <f>tbl_PutAway2[[#This Row],[GR Number]]&amp;"-"&amp;tbl_PutAway2[[#This Row],[GR Line]]</f>
        <v>GR-2026-0009-10</v>
      </c>
      <c r="H17" s="9" t="str">
        <f>_xlfn.XLOOKUP(tbl_PutAway2[[#This Row],[GR Line Key (Helper)]],[1]!tbl_GoodsReceipt[GR Line Key (Helper)],[1]!tbl_GoodsReceipt[Material Code])</f>
        <v>MAT-00017</v>
      </c>
      <c r="I17" s="9" t="str">
        <f>_xlfn.XLOOKUP(tbl_PutAway2[[#This Row],[Material Code]],[1]!tbl_GoodsReceipt[Material Code],[1]!tbl_GoodsReceipt[Material Description])</f>
        <v>Steel I-Beam 6m Length</v>
      </c>
      <c r="J17" s="9" t="str">
        <f>_xlfn.XLOOKUP(tbl_PutAway2[[#This Row],[GR Line Key (Helper)]],[1]!tbl_GoodsReceipt[GR Line Key (Helper)],[1]!tbl_GoodsReceipt[Batch/Lot Number])</f>
        <v>LOT-STL-260908</v>
      </c>
      <c r="K17" s="12">
        <f>_xlfn.XLOOKUP(tbl_PutAway2[[#This Row],[GR Line Key (Helper)]],[1]!tbl_GoodsReceipt[GR Line Key (Helper)],[1]!tbl_GoodsReceipt[Accepted Qty])</f>
        <v>10</v>
      </c>
      <c r="L17" s="12" t="str">
        <f>_xlfn.XLOOKUP(tbl_PutAway2[[#This Row],[GR Line Key (Helper)]],[1]!tbl_GoodsReceipt[GR Line Key (Helper)],[1]!tbl_GoodsReceipt[Purchase UoM])</f>
        <v>PCS</v>
      </c>
      <c r="M17" s="7">
        <v>5</v>
      </c>
      <c r="N17" s="12" t="str">
        <f>_xlfn.XLOOKUP(tbl_PutAway2[[#This Row],[Material Code]],[1]!tbl_MasterMaterial[Material Code],[1]!tbl_MasterMaterial[Base UoM])</f>
        <v>PCS</v>
      </c>
      <c r="O17" s="9" t="str">
        <f>_xlfn.XLOOKUP(tbl_PutAway2[[#This Row],[GR Line Key (Helper)]],[1]!tbl_GoodsReceipt[GR Line Key (Helper)],[1]!tbl_GoodsReceipt[Receiving Dock])</f>
        <v>E-01</v>
      </c>
      <c r="P17" s="65" t="str">
        <f>_xlfn.XLOOKUP(tbl_PutAway2[[#This Row],[Material Code]],[1]!tbl_MasterMaterial[Material Code],[1]!tbl_MasterMaterial[Default Storage Location])</f>
        <v>C-01-02</v>
      </c>
      <c r="Q17" s="65" t="str">
        <f>_xlfn.XLOOKUP(tbl_PutAway2[[#This Row],[Material Code]],[1]!tbl_MasterMaterial[Material Code],[1]!tbl_MasterMaterial[Storage/Handling Class])</f>
        <v>Heavy/Bulk</v>
      </c>
      <c r="R17" s="6" t="s">
        <v>270</v>
      </c>
      <c r="S17" s="9" t="str">
        <f>_xlfn.XLOOKUP(tbl_PutAway2[[#This Row],[To Location]],[1]!tbl_MasterLocation[Location Code],[1]!tbl_MasterLocation[Storage/Handling Requirement])</f>
        <v>Heavy/Bulk</v>
      </c>
      <c r="T17" s="66" t="str">
        <f>IF(tbl_PutAway2[[#This Row],[Location Storage/Handling Requirement]]=tbl_PutAway2[[#This Row],[Storage/Handling Class]],"Match","Mismatch - Review")</f>
        <v>Match</v>
      </c>
      <c r="U17" s="16" t="str">
        <f>IF(tbl_PutAway2[[#This Row],[Put Away Qty]]=0,"Pending", IF(tbl_PutAway2[[#This Row],[Put Away Qty]]&lt;tbl_PutAway2[[#This Row],[Accepted Qty]],"Partial","Completed"))</f>
        <v>Partial</v>
      </c>
      <c r="V17" s="6" t="s">
        <v>317</v>
      </c>
      <c r="W17" s="17" t="str">
        <f>tbl_PutAway2[[#This Row],[Put Away Number]]&amp;"-"&amp;tbl_PutAway2[[#This Row],[Put Away Line]]</f>
        <v>PA-2026-0009-10</v>
      </c>
    </row>
    <row r="20" spans="1:23" x14ac:dyDescent="0.25">
      <c r="A20" s="4" t="s">
        <v>67</v>
      </c>
    </row>
    <row r="21" spans="1:23" x14ac:dyDescent="0.25">
      <c r="A21" s="5"/>
    </row>
    <row r="22" spans="1:23" x14ac:dyDescent="0.25">
      <c r="A22" s="5"/>
    </row>
    <row r="23" spans="1:23" x14ac:dyDescent="0.25">
      <c r="A23" s="5"/>
    </row>
    <row r="24" spans="1:23" x14ac:dyDescent="0.25">
      <c r="A24" s="5"/>
    </row>
    <row r="25" spans="1:23" x14ac:dyDescent="0.25">
      <c r="A25" s="5"/>
    </row>
    <row r="26" spans="1:23" x14ac:dyDescent="0.25">
      <c r="A26" s="5"/>
    </row>
    <row r="30" spans="1:23" x14ac:dyDescent="0.25">
      <c r="A30" s="22"/>
      <c r="B30" s="24"/>
      <c r="C30" s="22"/>
      <c r="D30" s="22"/>
      <c r="E30" s="22"/>
      <c r="F30" s="24"/>
      <c r="G30" s="22"/>
    </row>
    <row r="31" spans="1:23" x14ac:dyDescent="0.25">
      <c r="A31" s="23"/>
      <c r="B31" s="29"/>
      <c r="C31" s="30"/>
      <c r="D31" s="23"/>
      <c r="E31" s="23"/>
      <c r="F31" s="29"/>
      <c r="G31" s="23"/>
    </row>
    <row r="32" spans="1:23" x14ac:dyDescent="0.25">
      <c r="A32" s="23"/>
      <c r="B32" s="29"/>
      <c r="C32" s="30"/>
      <c r="D32" s="23"/>
      <c r="E32" s="23"/>
      <c r="F32" s="29"/>
      <c r="G32" s="23"/>
    </row>
    <row r="33" spans="1:7" x14ac:dyDescent="0.25">
      <c r="A33" s="23"/>
      <c r="B33" s="29"/>
      <c r="C33" s="30"/>
      <c r="D33" s="23"/>
      <c r="E33" s="23"/>
      <c r="F33" s="29"/>
      <c r="G33" s="23"/>
    </row>
    <row r="34" spans="1:7" x14ac:dyDescent="0.25">
      <c r="A34" s="23"/>
      <c r="B34" s="29"/>
      <c r="C34" s="30"/>
      <c r="D34" s="23"/>
      <c r="E34" s="23"/>
      <c r="F34" s="29"/>
      <c r="G34" s="23"/>
    </row>
    <row r="35" spans="1:7" x14ac:dyDescent="0.25">
      <c r="A35" s="23"/>
      <c r="B35" s="29"/>
      <c r="C35" s="30"/>
      <c r="D35" s="23"/>
      <c r="E35" s="23"/>
      <c r="F35" s="29"/>
      <c r="G35" s="23"/>
    </row>
    <row r="36" spans="1:7" x14ac:dyDescent="0.25">
      <c r="A36" s="23"/>
      <c r="B36" s="29"/>
      <c r="C36" s="30"/>
      <c r="D36" s="23"/>
      <c r="E36" s="23"/>
      <c r="F36" s="29"/>
      <c r="G36" s="23"/>
    </row>
    <row r="37" spans="1:7" x14ac:dyDescent="0.25">
      <c r="A37" s="23"/>
      <c r="B37" s="29"/>
      <c r="C37" s="30"/>
      <c r="D37" s="23"/>
      <c r="E37" s="23"/>
      <c r="F37" s="29"/>
      <c r="G37" s="23"/>
    </row>
    <row r="38" spans="1:7" x14ac:dyDescent="0.25">
      <c r="A38" s="23"/>
      <c r="B38" s="29"/>
      <c r="C38" s="30"/>
      <c r="D38" s="23"/>
      <c r="E38" s="23"/>
      <c r="F38" s="29"/>
      <c r="G38" s="23"/>
    </row>
    <row r="39" spans="1:7" x14ac:dyDescent="0.25">
      <c r="A39" s="23"/>
      <c r="B39" s="29"/>
      <c r="C39" s="30"/>
      <c r="D39" s="23"/>
      <c r="E39" s="23"/>
      <c r="F39" s="29"/>
      <c r="G39" s="23"/>
    </row>
    <row r="40" spans="1:7" x14ac:dyDescent="0.25">
      <c r="A40" s="23"/>
      <c r="B40" s="29"/>
      <c r="C40" s="30"/>
      <c r="D40" s="23"/>
      <c r="E40" s="23"/>
      <c r="F40" s="29"/>
      <c r="G40" s="23"/>
    </row>
    <row r="41" spans="1:7" x14ac:dyDescent="0.25">
      <c r="A41" s="23"/>
      <c r="B41" s="29"/>
      <c r="C41" s="30"/>
      <c r="D41" s="23"/>
      <c r="E41" s="23"/>
      <c r="F41" s="29"/>
      <c r="G41" s="23"/>
    </row>
    <row r="42" spans="1:7" x14ac:dyDescent="0.25">
      <c r="A42" s="23"/>
      <c r="B42" s="29"/>
      <c r="C42" s="30"/>
      <c r="D42" s="23"/>
      <c r="E42" s="23"/>
      <c r="F42" s="29"/>
      <c r="G42" s="23"/>
    </row>
    <row r="43" spans="1:7" x14ac:dyDescent="0.25">
      <c r="A43" s="23"/>
      <c r="B43" s="29"/>
      <c r="C43" s="30"/>
      <c r="D43" s="23"/>
      <c r="E43" s="23"/>
      <c r="F43" s="29"/>
      <c r="G43" s="23"/>
    </row>
    <row r="44" spans="1:7" x14ac:dyDescent="0.25">
      <c r="A44" s="23"/>
      <c r="B44" s="29"/>
      <c r="C44" s="30"/>
      <c r="D44" s="23"/>
      <c r="E44" s="23"/>
      <c r="F44" s="29"/>
      <c r="G44" s="23"/>
    </row>
    <row r="45" spans="1:7" x14ac:dyDescent="0.25">
      <c r="A45" s="23"/>
      <c r="B45" s="29"/>
      <c r="C45" s="30"/>
      <c r="D45" s="23"/>
      <c r="E45" s="23"/>
      <c r="F45" s="29"/>
      <c r="G45" s="23"/>
    </row>
    <row r="46" spans="1:7" x14ac:dyDescent="0.25">
      <c r="A46" s="23"/>
      <c r="B46" s="29"/>
      <c r="C46" s="30"/>
      <c r="D46" s="23"/>
      <c r="E46" s="23"/>
      <c r="F46" s="29"/>
      <c r="G46" s="23"/>
    </row>
    <row r="47" spans="1:7" x14ac:dyDescent="0.25">
      <c r="A47" s="23"/>
      <c r="B47" s="29"/>
      <c r="C47" s="30"/>
      <c r="D47" s="23"/>
      <c r="E47" s="23"/>
      <c r="F47" s="29"/>
      <c r="G47" s="23"/>
    </row>
    <row r="48" spans="1:7" x14ac:dyDescent="0.25">
      <c r="A48" s="23"/>
      <c r="B48" s="29"/>
      <c r="C48" s="30"/>
      <c r="D48" s="23"/>
      <c r="E48" s="23"/>
      <c r="F48" s="29"/>
      <c r="G48" s="23"/>
    </row>
    <row r="49" spans="1:7" x14ac:dyDescent="0.25">
      <c r="A49" s="23"/>
      <c r="B49" s="29"/>
      <c r="C49" s="30"/>
      <c r="D49" s="23"/>
      <c r="E49" s="23"/>
      <c r="F49" s="29"/>
      <c r="G49" s="23"/>
    </row>
    <row r="50" spans="1:7" x14ac:dyDescent="0.25">
      <c r="A50" s="23"/>
      <c r="B50" s="29"/>
      <c r="C50" s="30"/>
      <c r="D50" s="23"/>
      <c r="E50" s="23"/>
      <c r="F50" s="29"/>
      <c r="G50" s="23"/>
    </row>
  </sheetData>
  <mergeCells count="1">
    <mergeCell ref="A1:W1"/>
  </mergeCells>
  <phoneticPr fontId="10" type="noConversion"/>
  <conditionalFormatting sqref="Q18:Q509">
    <cfRule type="expression" dxfId="22" priority="3">
      <formula>$Q18="Mismatch - Review"</formula>
    </cfRule>
  </conditionalFormatting>
  <conditionalFormatting sqref="T4:T17">
    <cfRule type="expression" dxfId="21" priority="1">
      <formula>$T4="Mismatch - Review"</formula>
    </cfRule>
  </conditionalFormatting>
  <conditionalFormatting sqref="U4:U17">
    <cfRule type="expression" dxfId="20" priority="2">
      <formula>$U4="Partial"</formula>
    </cfRule>
    <cfRule type="expression" dxfId="19" priority="4">
      <formula>$U4="Exception - Needs Review"</formula>
    </cfRule>
    <cfRule type="expression" dxfId="18" priority="5">
      <formula>$U4="Completed"</formula>
    </cfRule>
  </conditionalFormatting>
  <dataValidations count="1">
    <dataValidation type="list" showInputMessage="1" showErrorMessage="1" errorTitle="Invalid entry" error="Please select a value from the list." promptTitle="Putaway Location" prompt="Select an active, pickable storage location." sqref="M27:M509 M18:M25" xr:uid="{00000000-0002-0000-0500-000002000000}">
      <formula1>"BLK-A-01,BLK-A-02,RCK-B-01-01,RCK-B-01-02,RCK-B-02-01,HAZ-C-01"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 errorTitle="Invalid entry" error="Please select a value from the list." promptTitle="GR Number" prompt="Select the GR Number this put-away is against." xr:uid="{00000000-0002-0000-0500-000000000000}">
          <x14:formula1>
            <xm:f>'05_Goods_Receipt'!$A$4:$A$17</xm:f>
          </x14:formula1>
          <x14:formula2>
            <xm:f>0</xm:f>
          </x14:formula2>
          <xm:sqref>D51:D509 D19:D29</xm:sqref>
        </x14:dataValidation>
        <x14:dataValidation type="list" showInputMessage="1" showErrorMessage="1" errorTitle="Invalid entry" error="Please select a value from the list." promptTitle="GR Line" prompt="Select the GR Line this put-away is against." xr:uid="{00000000-0002-0000-0500-000001000000}">
          <x14:formula1>
            <xm:f>'05_Goods_Receipt'!$B$4:$B$17</xm:f>
          </x14:formula1>
          <x14:formula2>
            <xm:f>0</xm:f>
          </x14:formula2>
          <xm:sqref>E51:E509 E19:E29</xm:sqref>
        </x14:dataValidation>
        <x14:dataValidation type="list" showInputMessage="1" showErrorMessage="1" errorTitle="Invalid entry" error="Please select a value from the list." promptTitle="Putaway Location" prompt="Select an active, pickable storage location." xr:uid="{8B2961C3-5CD8-466B-ABFE-53D3E96F4657}">
          <x14:formula1>
            <xm:f>'01_Master_Material'!$F$4:$F$23</xm:f>
          </x14:formula1>
          <xm:sqref>M26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8"/>
  <sheetViews>
    <sheetView showGridLines="0" zoomScaleNormal="100" workbookViewId="0">
      <pane ySplit="1" topLeftCell="A2" activePane="bottomLeft" state="frozen"/>
      <selection pane="bottomLeft" activeCell="C33" sqref="C33"/>
    </sheetView>
  </sheetViews>
  <sheetFormatPr defaultColWidth="8.7109375" defaultRowHeight="15" x14ac:dyDescent="0.25"/>
  <cols>
    <col min="1" max="1" width="14.28515625" customWidth="1"/>
    <col min="2" max="2" width="10" customWidth="1"/>
    <col min="3" max="3" width="15.85546875" customWidth="1"/>
    <col min="4" max="4" width="14.85546875" customWidth="1"/>
    <col min="5" max="5" width="17.42578125" bestFit="1" customWidth="1"/>
    <col min="6" max="6" width="13.7109375" customWidth="1"/>
    <col min="7" max="7" width="13.85546875" bestFit="1" customWidth="1"/>
    <col min="8" max="8" width="31.5703125" bestFit="1" customWidth="1"/>
    <col min="9" max="9" width="10.7109375" customWidth="1"/>
    <col min="10" max="10" width="13.42578125" customWidth="1"/>
    <col min="11" max="11" width="13.85546875" customWidth="1"/>
    <col min="12" max="12" width="13.5703125" customWidth="1"/>
    <col min="13" max="13" width="17.42578125" customWidth="1"/>
    <col min="14" max="14" width="14.5703125" customWidth="1"/>
    <col min="15" max="15" width="13.85546875" customWidth="1"/>
    <col min="16" max="16" width="12.5703125" customWidth="1"/>
    <col min="17" max="17" width="42.42578125" bestFit="1" customWidth="1"/>
    <col min="18" max="18" width="23" bestFit="1" customWidth="1"/>
  </cols>
  <sheetData>
    <row r="1" spans="1:18" ht="16.5" x14ac:dyDescent="0.25">
      <c r="A1" s="81" t="s">
        <v>318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</row>
    <row r="3" spans="1:18" ht="25.5" x14ac:dyDescent="0.25">
      <c r="A3" s="1" t="s">
        <v>319</v>
      </c>
      <c r="B3" s="1" t="s">
        <v>320</v>
      </c>
      <c r="C3" s="1" t="s">
        <v>321</v>
      </c>
      <c r="D3" s="1" t="s">
        <v>322</v>
      </c>
      <c r="E3" s="1" t="s">
        <v>323</v>
      </c>
      <c r="F3" s="1" t="s">
        <v>324</v>
      </c>
      <c r="G3" s="1" t="s">
        <v>1</v>
      </c>
      <c r="H3" s="1" t="s">
        <v>2</v>
      </c>
      <c r="I3" s="1" t="s">
        <v>4</v>
      </c>
      <c r="J3" s="1" t="s">
        <v>325</v>
      </c>
      <c r="K3" s="1" t="s">
        <v>326</v>
      </c>
      <c r="L3" s="1" t="s">
        <v>327</v>
      </c>
      <c r="M3" s="1" t="s">
        <v>328</v>
      </c>
      <c r="N3" s="1" t="s">
        <v>329</v>
      </c>
      <c r="O3" s="1" t="s">
        <v>330</v>
      </c>
      <c r="P3" s="1" t="s">
        <v>331</v>
      </c>
      <c r="Q3" s="1" t="s">
        <v>115</v>
      </c>
      <c r="R3" s="1" t="s">
        <v>332</v>
      </c>
    </row>
    <row r="4" spans="1:18" x14ac:dyDescent="0.25">
      <c r="A4" s="6" t="s">
        <v>333</v>
      </c>
      <c r="B4" s="7">
        <v>10</v>
      </c>
      <c r="C4" s="8">
        <v>46246</v>
      </c>
      <c r="D4" s="8">
        <v>46248</v>
      </c>
      <c r="E4" s="6" t="s">
        <v>334</v>
      </c>
      <c r="F4" s="6" t="s">
        <v>335</v>
      </c>
      <c r="G4" s="6" t="s">
        <v>14</v>
      </c>
      <c r="H4" s="9" t="str">
        <f>_xlfn.XLOOKUP(tbl_MaterialRequest[[#This Row],[Material Code]],[1]!tbl_MasterMaterial[Material Code],[1]!tbl_MasterMaterial[Material Description])</f>
        <v>Hydraulic Cylinder Seal Kit 80mm</v>
      </c>
      <c r="I4" s="10" t="str">
        <f>_xlfn.XLOOKUP(tbl_MaterialRequest[[#This Row],[Material Code]],[1]!tbl_MasterMaterial[Material Code],[1]!tbl_MasterMaterial[Base UoM])</f>
        <v>PCS</v>
      </c>
      <c r="J4" s="11">
        <v>4</v>
      </c>
      <c r="K4" s="14" t="s">
        <v>336</v>
      </c>
      <c r="L4" s="19" t="s">
        <v>337</v>
      </c>
      <c r="M4" s="16" t="str">
        <f>IF(L4&gt;=J4,"Sufficient","Insufficient - Review")</f>
        <v>Sufficient</v>
      </c>
      <c r="N4" s="14" t="s">
        <v>81</v>
      </c>
      <c r="O4" s="3">
        <f>SUMIF('[1]09_Goods_Issue'!$J:$J,G4,'[1]09_Goods_Issue'!$P:$P)</f>
        <v>0</v>
      </c>
      <c r="P4" s="66" t="s">
        <v>338</v>
      </c>
      <c r="Q4" s="6"/>
      <c r="R4" s="17" t="str">
        <f>tbl_MaterialRequest[[#This Row],[Request Number]]&amp;"-"&amp;tbl_MaterialRequest[[#This Row],[Request Line]]</f>
        <v>MR-2026-0001-10</v>
      </c>
    </row>
    <row r="5" spans="1:18" x14ac:dyDescent="0.25">
      <c r="A5" s="6" t="s">
        <v>333</v>
      </c>
      <c r="B5" s="7">
        <v>20</v>
      </c>
      <c r="C5" s="8">
        <v>46246</v>
      </c>
      <c r="D5" s="8">
        <v>46248</v>
      </c>
      <c r="E5" s="6" t="s">
        <v>334</v>
      </c>
      <c r="F5" s="6" t="s">
        <v>335</v>
      </c>
      <c r="G5" s="6" t="s">
        <v>39</v>
      </c>
      <c r="H5" s="9" t="str">
        <f>_xlfn.XLOOKUP(tbl_MaterialRequest[[#This Row],[Material Code]],[1]!tbl_MasterMaterial[Material Code],[1]!tbl_MasterMaterial[Material Description])</f>
        <v>Hydraulic Hose 1/2in x 3m</v>
      </c>
      <c r="I5" s="10" t="str">
        <f>_xlfn.XLOOKUP(tbl_MaterialRequest[[#This Row],[Material Code]],[1]!tbl_MasterMaterial[Material Code],[1]!tbl_MasterMaterial[Base UoM])</f>
        <v>PCS</v>
      </c>
      <c r="J5" s="11">
        <v>20</v>
      </c>
      <c r="K5" s="14" t="s">
        <v>336</v>
      </c>
      <c r="L5" s="19"/>
      <c r="M5" s="16"/>
      <c r="N5" s="14" t="s">
        <v>81</v>
      </c>
      <c r="O5" s="3"/>
      <c r="P5" s="66" t="s">
        <v>338</v>
      </c>
      <c r="Q5" s="72"/>
      <c r="R5" s="17" t="str">
        <f>tbl_MaterialRequest[[#This Row],[Request Number]]&amp;"-"&amp;tbl_MaterialRequest[[#This Row],[Request Line]]</f>
        <v>MR-2026-0001-20</v>
      </c>
    </row>
    <row r="6" spans="1:18" x14ac:dyDescent="0.25">
      <c r="A6" s="6" t="s">
        <v>339</v>
      </c>
      <c r="B6" s="7">
        <v>10</v>
      </c>
      <c r="C6" s="8">
        <v>46250</v>
      </c>
      <c r="D6" s="8">
        <v>46252</v>
      </c>
      <c r="E6" s="6" t="s">
        <v>340</v>
      </c>
      <c r="F6" s="6" t="s">
        <v>341</v>
      </c>
      <c r="G6" s="6" t="s">
        <v>25</v>
      </c>
      <c r="H6" s="9" t="str">
        <f>_xlfn.XLOOKUP(tbl_MaterialRequest[[#This Row],[Material Code]],[1]!tbl_MasterMaterial[Material Code],[1]!tbl_MasterMaterial[Material Description])</f>
        <v>Engine Oil Filter (Cat 320D)</v>
      </c>
      <c r="I6" s="10" t="str">
        <f>_xlfn.XLOOKUP(tbl_MaterialRequest[[#This Row],[Material Code]],[1]!tbl_MasterMaterial[Material Code],[1]!tbl_MasterMaterial[Base UoM])</f>
        <v>PCS</v>
      </c>
      <c r="J6" s="11">
        <v>100</v>
      </c>
      <c r="K6" s="14" t="s">
        <v>119</v>
      </c>
      <c r="L6" s="19"/>
      <c r="M6" s="16"/>
      <c r="N6" s="14" t="s">
        <v>81</v>
      </c>
      <c r="O6" s="3"/>
      <c r="P6" s="66" t="s">
        <v>338</v>
      </c>
      <c r="Q6" s="6" t="s">
        <v>342</v>
      </c>
      <c r="R6" s="17" t="str">
        <f>tbl_MaterialRequest[[#This Row],[Request Number]]&amp;"-"&amp;tbl_MaterialRequest[[#This Row],[Request Line]]</f>
        <v>MR-2026-0002-10</v>
      </c>
    </row>
    <row r="7" spans="1:18" x14ac:dyDescent="0.25">
      <c r="A7" s="6" t="s">
        <v>343</v>
      </c>
      <c r="B7" s="7">
        <v>10</v>
      </c>
      <c r="C7" s="8">
        <v>46252</v>
      </c>
      <c r="D7" s="8">
        <v>46254</v>
      </c>
      <c r="E7" s="6" t="s">
        <v>334</v>
      </c>
      <c r="F7" s="6" t="s">
        <v>344</v>
      </c>
      <c r="G7" s="6" t="s">
        <v>27</v>
      </c>
      <c r="H7" s="9" t="str">
        <f>_xlfn.XLOOKUP(tbl_MaterialRequest[[#This Row],[Material Code]],[1]!tbl_MasterMaterial[Material Code],[1]!tbl_MasterMaterial[Material Description])</f>
        <v>Hex Bolt M12x50 Grade 8.8</v>
      </c>
      <c r="I7" s="10" t="str">
        <f>_xlfn.XLOOKUP(tbl_MaterialRequest[[#This Row],[Material Code]],[1]!tbl_MasterMaterial[Material Code],[1]!tbl_MasterMaterial[Base UoM])</f>
        <v>PCS</v>
      </c>
      <c r="J7" s="11">
        <v>3000</v>
      </c>
      <c r="K7" s="14" t="s">
        <v>336</v>
      </c>
      <c r="L7" s="19"/>
      <c r="M7" s="16"/>
      <c r="N7" s="14" t="s">
        <v>81</v>
      </c>
      <c r="O7" s="3"/>
      <c r="P7" s="66" t="s">
        <v>338</v>
      </c>
      <c r="Q7" s="6"/>
      <c r="R7" s="17" t="str">
        <f>tbl_MaterialRequest[[#This Row],[Request Number]]&amp;"-"&amp;tbl_MaterialRequest[[#This Row],[Request Line]]</f>
        <v>MR-2026-0003-10</v>
      </c>
    </row>
    <row r="8" spans="1:18" x14ac:dyDescent="0.25">
      <c r="A8" s="6" t="s">
        <v>345</v>
      </c>
      <c r="B8" s="7">
        <v>10</v>
      </c>
      <c r="C8" s="8">
        <v>46254</v>
      </c>
      <c r="D8" s="8">
        <v>46256</v>
      </c>
      <c r="E8" s="6" t="s">
        <v>346</v>
      </c>
      <c r="F8" s="6" t="s">
        <v>347</v>
      </c>
      <c r="G8" s="6" t="s">
        <v>31</v>
      </c>
      <c r="H8" s="9" t="str">
        <f>_xlfn.XLOOKUP(tbl_MaterialRequest[[#This Row],[Material Code]],[1]!tbl_MasterMaterial[Material Code],[1]!tbl_MasterMaterial[Material Description])</f>
        <v>Industrial Degreaser 20L</v>
      </c>
      <c r="I8" s="10" t="str">
        <f>_xlfn.XLOOKUP(tbl_MaterialRequest[[#This Row],[Material Code]],[1]!tbl_MasterMaterial[Material Code],[1]!tbl_MasterMaterial[Base UoM])</f>
        <v>LTR</v>
      </c>
      <c r="J8" s="11">
        <v>120</v>
      </c>
      <c r="K8" s="14" t="s">
        <v>336</v>
      </c>
      <c r="L8" s="19"/>
      <c r="M8" s="16"/>
      <c r="N8" s="14" t="s">
        <v>348</v>
      </c>
      <c r="O8" s="3"/>
      <c r="P8" s="66" t="s">
        <v>338</v>
      </c>
      <c r="Q8" s="6" t="s">
        <v>349</v>
      </c>
      <c r="R8" s="17" t="str">
        <f>tbl_MaterialRequest[[#This Row],[Request Number]]&amp;"-"&amp;tbl_MaterialRequest[[#This Row],[Request Line]]</f>
        <v>MR-2026-0004-10</v>
      </c>
    </row>
    <row r="9" spans="1:18" x14ac:dyDescent="0.25">
      <c r="A9" s="6" t="s">
        <v>350</v>
      </c>
      <c r="B9" s="7">
        <v>10</v>
      </c>
      <c r="C9" s="8">
        <v>46256</v>
      </c>
      <c r="D9" s="8">
        <v>46258</v>
      </c>
      <c r="E9" s="6" t="s">
        <v>334</v>
      </c>
      <c r="F9" s="6" t="s">
        <v>344</v>
      </c>
      <c r="G9" s="6" t="s">
        <v>43</v>
      </c>
      <c r="H9" s="9" t="str">
        <f>_xlfn.XLOOKUP(tbl_MaterialRequest[[#This Row],[Material Code]],[1]!tbl_MasterMaterial[Material Code],[1]!tbl_MasterMaterial[Material Description])</f>
        <v>Welding Electrode E7018 3.2mm</v>
      </c>
      <c r="I9" s="10" t="str">
        <f>_xlfn.XLOOKUP(tbl_MaterialRequest[[#This Row],[Material Code]],[1]!tbl_MasterMaterial[Material Code],[1]!tbl_MasterMaterial[Base UoM])</f>
        <v>KG</v>
      </c>
      <c r="J9" s="11">
        <v>6</v>
      </c>
      <c r="K9" s="14" t="s">
        <v>119</v>
      </c>
      <c r="L9" s="19"/>
      <c r="M9" s="16"/>
      <c r="N9" s="14" t="s">
        <v>81</v>
      </c>
      <c r="O9" s="3"/>
      <c r="P9" s="66" t="s">
        <v>338</v>
      </c>
      <c r="Q9" s="6" t="s">
        <v>351</v>
      </c>
      <c r="R9" s="17" t="str">
        <f>tbl_MaterialRequest[[#This Row],[Request Number]]&amp;"-"&amp;tbl_MaterialRequest[[#This Row],[Request Line]]</f>
        <v>MR-2026-0005-10</v>
      </c>
    </row>
    <row r="10" spans="1:18" x14ac:dyDescent="0.25">
      <c r="A10" s="6" t="s">
        <v>350</v>
      </c>
      <c r="B10" s="7">
        <v>20</v>
      </c>
      <c r="C10" s="8">
        <v>46256</v>
      </c>
      <c r="D10" s="8">
        <v>46258</v>
      </c>
      <c r="E10" s="6" t="s">
        <v>346</v>
      </c>
      <c r="F10" s="6" t="s">
        <v>347</v>
      </c>
      <c r="G10" s="6" t="s">
        <v>52</v>
      </c>
      <c r="H10" s="9" t="str">
        <f>_xlfn.XLOOKUP(tbl_MaterialRequest[[#This Row],[Material Code]],[1]!tbl_MasterMaterial[Material Code],[1]!tbl_MasterMaterial[Material Description])</f>
        <v>Flat Washer M12 Zinc Plated</v>
      </c>
      <c r="I10" s="10" t="str">
        <f>_xlfn.XLOOKUP(tbl_MaterialRequest[[#This Row],[Material Code]],[1]!tbl_MasterMaterial[Material Code],[1]!tbl_MasterMaterial[Base UoM])</f>
        <v>PCS</v>
      </c>
      <c r="J10" s="11">
        <v>9000</v>
      </c>
      <c r="K10" s="14" t="s">
        <v>336</v>
      </c>
      <c r="L10" s="19"/>
      <c r="M10" s="16"/>
      <c r="N10" s="14" t="s">
        <v>81</v>
      </c>
      <c r="O10" s="3"/>
      <c r="P10" s="66" t="s">
        <v>338</v>
      </c>
      <c r="Q10" s="6"/>
      <c r="R10" s="17" t="str">
        <f>tbl_MaterialRequest[[#This Row],[Request Number]]&amp;"-"&amp;tbl_MaterialRequest[[#This Row],[Request Line]]</f>
        <v>MR-2026-0005-20</v>
      </c>
    </row>
    <row r="11" spans="1:18" x14ac:dyDescent="0.25">
      <c r="A11" s="6" t="s">
        <v>352</v>
      </c>
      <c r="B11" s="7">
        <v>10</v>
      </c>
      <c r="C11" s="8">
        <v>46259</v>
      </c>
      <c r="D11" s="8">
        <v>46261</v>
      </c>
      <c r="E11" s="6" t="s">
        <v>340</v>
      </c>
      <c r="F11" s="6" t="s">
        <v>341</v>
      </c>
      <c r="G11" s="6" t="s">
        <v>21</v>
      </c>
      <c r="H11" s="9" t="str">
        <f>_xlfn.XLOOKUP(tbl_MaterialRequest[[#This Row],[Material Code]],[1]!tbl_MasterMaterial[Material Code],[1]!tbl_MasterMaterial[Material Description])</f>
        <v>Steel Plate 10mm x 2m x 1m</v>
      </c>
      <c r="I11" s="10" t="str">
        <f>_xlfn.XLOOKUP(tbl_MaterialRequest[[#This Row],[Material Code]],[1]!tbl_MasterMaterial[Material Code],[1]!tbl_MasterMaterial[Base UoM])</f>
        <v>PCS</v>
      </c>
      <c r="J11" s="11">
        <v>15</v>
      </c>
      <c r="K11" s="14" t="s">
        <v>336</v>
      </c>
      <c r="L11" s="19"/>
      <c r="M11" s="16"/>
      <c r="N11" s="14" t="s">
        <v>81</v>
      </c>
      <c r="O11" s="3"/>
      <c r="P11" s="66" t="s">
        <v>338</v>
      </c>
      <c r="Q11" s="6" t="s">
        <v>353</v>
      </c>
      <c r="R11" s="17" t="str">
        <f>tbl_MaterialRequest[[#This Row],[Request Number]]&amp;"-"&amp;tbl_MaterialRequest[[#This Row],[Request Line]]</f>
        <v>MR-2026-0006-10</v>
      </c>
    </row>
    <row r="12" spans="1:18" x14ac:dyDescent="0.25">
      <c r="A12" s="6" t="s">
        <v>354</v>
      </c>
      <c r="B12" s="7">
        <v>10</v>
      </c>
      <c r="C12" s="8">
        <v>46264</v>
      </c>
      <c r="D12" s="8">
        <v>46266</v>
      </c>
      <c r="E12" s="6" t="s">
        <v>334</v>
      </c>
      <c r="F12" s="6" t="s">
        <v>335</v>
      </c>
      <c r="G12" s="6" t="s">
        <v>46</v>
      </c>
      <c r="H12" s="9" t="str">
        <f>_xlfn.XLOOKUP(tbl_MaterialRequest[[#This Row],[Material Code]],[1]!tbl_MasterMaterial[Material Code],[1]!tbl_MasterMaterial[Material Description])</f>
        <v>Final Drive Motor (Excavator PC200)</v>
      </c>
      <c r="I12" s="10" t="str">
        <f>_xlfn.XLOOKUP(tbl_MaterialRequest[[#This Row],[Material Code]],[1]!tbl_MasterMaterial[Material Code],[1]!tbl_MasterMaterial[Base UoM])</f>
        <v>PCS</v>
      </c>
      <c r="J12" s="11">
        <v>60</v>
      </c>
      <c r="K12" s="14" t="s">
        <v>336</v>
      </c>
      <c r="L12" s="19"/>
      <c r="M12" s="16"/>
      <c r="N12" s="14" t="s">
        <v>355</v>
      </c>
      <c r="O12" s="3"/>
      <c r="P12" s="66" t="s">
        <v>338</v>
      </c>
      <c r="Q12" s="6" t="s">
        <v>356</v>
      </c>
      <c r="R12" s="17" t="str">
        <f>tbl_MaterialRequest[[#This Row],[Request Number]]&amp;"-"&amp;tbl_MaterialRequest[[#This Row],[Request Line]]</f>
        <v>MR-2026-0007-10</v>
      </c>
    </row>
    <row r="13" spans="1:18" x14ac:dyDescent="0.25">
      <c r="A13" s="6" t="s">
        <v>357</v>
      </c>
      <c r="B13" s="7">
        <v>10</v>
      </c>
      <c r="C13" s="8">
        <v>46266</v>
      </c>
      <c r="D13" s="8">
        <v>46268</v>
      </c>
      <c r="E13" s="6" t="s">
        <v>358</v>
      </c>
      <c r="F13" s="6" t="s">
        <v>359</v>
      </c>
      <c r="G13" s="6" t="s">
        <v>37</v>
      </c>
      <c r="H13" s="9" t="str">
        <f>_xlfn.XLOOKUP(tbl_MaterialRequest[[#This Row],[Material Code]],[1]!tbl_MasterMaterial[Material Code],[1]!tbl_MasterMaterial[Material Description])</f>
        <v>Air Filter Element - Primary</v>
      </c>
      <c r="I13" s="10" t="str">
        <f>_xlfn.XLOOKUP(tbl_MaterialRequest[[#This Row],[Material Code]],[1]!tbl_MasterMaterial[Material Code],[1]!tbl_MasterMaterial[Base UoM])</f>
        <v>PCS</v>
      </c>
      <c r="J13" s="11">
        <v>24</v>
      </c>
      <c r="K13" s="14" t="s">
        <v>336</v>
      </c>
      <c r="L13" s="19"/>
      <c r="M13" s="16"/>
      <c r="N13" s="14" t="s">
        <v>81</v>
      </c>
      <c r="O13" s="3"/>
      <c r="P13" s="66" t="s">
        <v>338</v>
      </c>
      <c r="Q13" s="6"/>
      <c r="R13" s="17" t="str">
        <f>tbl_MaterialRequest[[#This Row],[Request Number]]&amp;"-"&amp;tbl_MaterialRequest[[#This Row],[Request Line]]</f>
        <v>MR-2026-0008-10</v>
      </c>
    </row>
    <row r="14" spans="1:18" x14ac:dyDescent="0.25">
      <c r="A14" s="6" t="s">
        <v>360</v>
      </c>
      <c r="B14" s="7">
        <v>10</v>
      </c>
      <c r="C14" s="8">
        <v>46268</v>
      </c>
      <c r="D14" s="8">
        <v>46270</v>
      </c>
      <c r="E14" s="6" t="s">
        <v>334</v>
      </c>
      <c r="F14" s="6" t="s">
        <v>344</v>
      </c>
      <c r="G14" s="6" t="s">
        <v>36</v>
      </c>
      <c r="H14" s="9" t="str">
        <f>_xlfn.XLOOKUP(tbl_MaterialRequest[[#This Row],[Material Code]],[1]!tbl_MasterMaterial[Material Code],[1]!tbl_MasterMaterial[Material Description])</f>
        <v>Track Roller Assembly</v>
      </c>
      <c r="I14" s="10" t="str">
        <f>_xlfn.XLOOKUP(tbl_MaterialRequest[[#This Row],[Material Code]],[1]!tbl_MasterMaterial[Material Code],[1]!tbl_MasterMaterial[Base UoM])</f>
        <v>PCS</v>
      </c>
      <c r="J14" s="11">
        <v>40</v>
      </c>
      <c r="K14" s="14" t="s">
        <v>119</v>
      </c>
      <c r="L14" s="19"/>
      <c r="M14" s="16"/>
      <c r="N14" s="14" t="s">
        <v>81</v>
      </c>
      <c r="O14" s="3"/>
      <c r="P14" s="66" t="s">
        <v>338</v>
      </c>
      <c r="Q14" s="6" t="s">
        <v>361</v>
      </c>
      <c r="R14" s="17" t="str">
        <f>tbl_MaterialRequest[[#This Row],[Request Number]]&amp;"-"&amp;tbl_MaterialRequest[[#This Row],[Request Line]]</f>
        <v>MR-2026-0009-10</v>
      </c>
    </row>
    <row r="15" spans="1:18" x14ac:dyDescent="0.25">
      <c r="A15" s="6" t="s">
        <v>362</v>
      </c>
      <c r="B15" s="7">
        <v>10</v>
      </c>
      <c r="C15" s="8">
        <v>46270</v>
      </c>
      <c r="D15" s="8">
        <v>46272</v>
      </c>
      <c r="E15" s="6" t="s">
        <v>346</v>
      </c>
      <c r="F15" s="6" t="s">
        <v>347</v>
      </c>
      <c r="G15" s="6" t="s">
        <v>41</v>
      </c>
      <c r="H15" s="9" t="str">
        <f>_xlfn.XLOOKUP(tbl_MaterialRequest[[#This Row],[Material Code]],[1]!tbl_MasterMaterial[Material Code],[1]!tbl_MasterMaterial[Material Description])</f>
        <v>Grease Cartridge NLGI2 400g</v>
      </c>
      <c r="I15" s="10" t="str">
        <f>_xlfn.XLOOKUP(tbl_MaterialRequest[[#This Row],[Material Code]],[1]!tbl_MasterMaterial[Material Code],[1]!tbl_MasterMaterial[Base UoM])</f>
        <v>PCS</v>
      </c>
      <c r="J15" s="11">
        <v>200</v>
      </c>
      <c r="K15" s="14" t="s">
        <v>336</v>
      </c>
      <c r="L15" s="19"/>
      <c r="M15" s="16"/>
      <c r="N15" s="14" t="s">
        <v>348</v>
      </c>
      <c r="O15" s="3">
        <f>SUMIF('[1]09_Goods_Issue'!$J:$J,G15,'[1]09_Goods_Issue'!$P:$P)</f>
        <v>0</v>
      </c>
      <c r="P15" s="66" t="s">
        <v>338</v>
      </c>
      <c r="Q15" s="6" t="s">
        <v>363</v>
      </c>
      <c r="R15" s="17" t="str">
        <f>tbl_MaterialRequest[[#This Row],[Request Number]]&amp;"-"&amp;tbl_MaterialRequest[[#This Row],[Request Line]]</f>
        <v>MR-2026-0010-10</v>
      </c>
    </row>
    <row r="16" spans="1:18" x14ac:dyDescent="0.25">
      <c r="A16" s="6" t="s">
        <v>362</v>
      </c>
      <c r="B16" s="7">
        <v>20</v>
      </c>
      <c r="C16" s="8">
        <v>46270</v>
      </c>
      <c r="D16" s="8">
        <v>46272</v>
      </c>
      <c r="E16" s="6" t="s">
        <v>334</v>
      </c>
      <c r="F16" s="6" t="s">
        <v>335</v>
      </c>
      <c r="G16" s="6" t="s">
        <v>48</v>
      </c>
      <c r="H16" s="9" t="str">
        <f>_xlfn.XLOOKUP(tbl_MaterialRequest[[#This Row],[Material Code]],[1]!tbl_MasterMaterial[Material Code],[1]!tbl_MasterMaterial[Material Description])</f>
        <v>Bucket Teeth (CAT style)</v>
      </c>
      <c r="I16" s="10" t="str">
        <f>_xlfn.XLOOKUP(tbl_MaterialRequest[[#This Row],[Material Code]],[1]!tbl_MasterMaterial[Material Code],[1]!tbl_MasterMaterial[Base UoM])</f>
        <v>PCS</v>
      </c>
      <c r="J16" s="11">
        <v>36</v>
      </c>
      <c r="K16" s="14" t="s">
        <v>336</v>
      </c>
      <c r="L16" s="19"/>
      <c r="M16" s="16"/>
      <c r="N16" s="14" t="s">
        <v>81</v>
      </c>
      <c r="O16" s="3">
        <f>SUMIF('[1]09_Goods_Issue'!$J:$J,G16,'[1]09_Goods_Issue'!$P:$P)</f>
        <v>0</v>
      </c>
      <c r="P16" s="66" t="s">
        <v>338</v>
      </c>
      <c r="Q16" s="6"/>
      <c r="R16" s="17" t="str">
        <f>tbl_MaterialRequest[[#This Row],[Request Number]]&amp;"-"&amp;tbl_MaterialRequest[[#This Row],[Request Line]]</f>
        <v>MR-2026-0010-20</v>
      </c>
    </row>
    <row r="17" spans="1:18" x14ac:dyDescent="0.25">
      <c r="A17" s="6" t="s">
        <v>364</v>
      </c>
      <c r="B17" s="7">
        <v>10</v>
      </c>
      <c r="C17" s="8">
        <v>46273</v>
      </c>
      <c r="D17" s="8">
        <v>46275</v>
      </c>
      <c r="E17" s="6" t="s">
        <v>340</v>
      </c>
      <c r="F17" s="6" t="s">
        <v>341</v>
      </c>
      <c r="G17" s="6" t="s">
        <v>50</v>
      </c>
      <c r="H17" s="9" t="str">
        <f>_xlfn.XLOOKUP(tbl_MaterialRequest[[#This Row],[Material Code]],[1]!tbl_MasterMaterial[Material Code],[1]!tbl_MasterMaterial[Material Description])</f>
        <v>Radiator Coolant 20L</v>
      </c>
      <c r="I17" s="10" t="str">
        <f>_xlfn.XLOOKUP(tbl_MaterialRequest[[#This Row],[Material Code]],[1]!tbl_MasterMaterial[Material Code],[1]!tbl_MasterMaterial[Base UoM])</f>
        <v>LTR</v>
      </c>
      <c r="J17" s="11">
        <v>80</v>
      </c>
      <c r="K17" s="14" t="s">
        <v>336</v>
      </c>
      <c r="L17" s="19"/>
      <c r="M17" s="16"/>
      <c r="N17" s="14" t="s">
        <v>81</v>
      </c>
      <c r="O17" s="3">
        <f>SUMIF('[1]09_Goods_Issue'!$J:$J,G17,'[1]09_Goods_Issue'!$P:$P)</f>
        <v>0</v>
      </c>
      <c r="P17" s="66" t="s">
        <v>338</v>
      </c>
      <c r="Q17" s="6" t="s">
        <v>365</v>
      </c>
      <c r="R17" s="17" t="str">
        <f>tbl_MaterialRequest[[#This Row],[Request Number]]&amp;"-"&amp;tbl_MaterialRequest[[#This Row],[Request Line]]</f>
        <v>MR-2026-0011-10</v>
      </c>
    </row>
    <row r="18" spans="1:18" x14ac:dyDescent="0.25">
      <c r="A18" s="6" t="s">
        <v>366</v>
      </c>
      <c r="B18" s="7">
        <v>10</v>
      </c>
      <c r="C18" s="8">
        <v>46275</v>
      </c>
      <c r="D18" s="8">
        <v>46277</v>
      </c>
      <c r="E18" s="6" t="s">
        <v>334</v>
      </c>
      <c r="F18" s="6" t="s">
        <v>344</v>
      </c>
      <c r="G18" s="6" t="s">
        <v>54</v>
      </c>
      <c r="H18" s="9" t="str">
        <f>_xlfn.XLOOKUP(tbl_MaterialRequest[[#This Row],[Material Code]],[1]!tbl_MasterMaterial[Material Code],[1]!tbl_MasterMaterial[Material Description])</f>
        <v>Turbocharger Assembly (Cat C15)</v>
      </c>
      <c r="I18" s="10" t="str">
        <f>_xlfn.XLOOKUP(tbl_MaterialRequest[[#This Row],[Material Code]],[1]!tbl_MasterMaterial[Material Code],[1]!tbl_MasterMaterial[Base UoM])</f>
        <v>PCS</v>
      </c>
      <c r="J18" s="11">
        <v>150</v>
      </c>
      <c r="K18" s="14" t="s">
        <v>336</v>
      </c>
      <c r="L18" s="19"/>
      <c r="M18" s="16"/>
      <c r="N18" s="14" t="s">
        <v>81</v>
      </c>
      <c r="O18" s="3">
        <f>SUMIF('[1]09_Goods_Issue'!$J:$J,G18,'[1]09_Goods_Issue'!$P:$P)</f>
        <v>0</v>
      </c>
      <c r="P18" s="66" t="s">
        <v>338</v>
      </c>
      <c r="Q18" s="6"/>
      <c r="R18" s="17" t="str">
        <f>tbl_MaterialRequest[[#This Row],[Request Number]]&amp;"-"&amp;tbl_MaterialRequest[[#This Row],[Request Line]]</f>
        <v>MR-2026-0012-10</v>
      </c>
    </row>
  </sheetData>
  <mergeCells count="1">
    <mergeCell ref="A1:R1"/>
  </mergeCells>
  <conditionalFormatting sqref="I19:I507">
    <cfRule type="expression" dxfId="17" priority="1">
      <formula>$I19="Urgent"</formula>
    </cfRule>
  </conditionalFormatting>
  <conditionalFormatting sqref="K4:K18">
    <cfRule type="expression" dxfId="16" priority="6">
      <formula>$K4="Urgent"</formula>
    </cfRule>
  </conditionalFormatting>
  <conditionalFormatting sqref="M4:N18">
    <cfRule type="expression" dxfId="15" priority="4">
      <formula>$M4="Insufficient - Review"</formula>
    </cfRule>
    <cfRule type="expression" dxfId="14" priority="5">
      <formula>$M4="Sufficient"</formula>
    </cfRule>
  </conditionalFormatting>
  <conditionalFormatting sqref="N19:N507">
    <cfRule type="expression" dxfId="13" priority="2">
      <formula>$N19="Insufficient - Review"</formula>
    </cfRule>
    <cfRule type="expression" dxfId="12" priority="3">
      <formula>$N19="Sufficient"</formula>
    </cfRule>
  </conditionalFormatting>
  <dataValidations count="4">
    <dataValidation type="list" showInputMessage="1" showErrorMessage="1" errorTitle="Invalid entry" error="Please select a value from the list." promptTitle="Requesting Department" prompt="Select the requesting department." sqref="C19:C21 C37:C507" xr:uid="{CDC93C4D-D7B7-4752-A9B3-3A4EAC69C6C7}">
      <formula1>"Production,Maintenance,QC"</formula1>
      <formula2>0</formula2>
    </dataValidation>
    <dataValidation type="list" showInputMessage="1" showErrorMessage="1" errorTitle="Invalid entry" error="Please select a value from the list." promptTitle="Request Status" prompt="Current status of this request line." sqref="O19:O507 P4:P18" xr:uid="{B2D72D1D-5701-4F83-8D72-B235CF3F052B}">
      <formula1>"Open,Approved,Rejected,Fulfilled"</formula1>
      <formula2>0</formula2>
    </dataValidation>
    <dataValidation type="list" showInputMessage="1" showErrorMessage="1" errorTitle="Invalid entry" error="Please select a value from the list." promptTitle="Requesting Department" prompt="Select the requesting department." sqref="E4:E18" xr:uid="{24E7F2C5-9CAE-438D-B0AF-33FF282410C8}">
      <formula1>"Production,Assembly,Maintenance,QC,Engineering"</formula1>
    </dataValidation>
    <dataValidation type="list" showInputMessage="1" showErrorMessage="1" errorTitle="Invalid entry" error="Please select a value from the list." promptTitle="Request Priority" prompt="Routine or Urgent (machine-down) request." sqref="K4:K18 I19:I507" xr:uid="{A3227F8D-233B-4162-84E8-177CCACA7ABA}">
      <formula1>"Routine,Urgent"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25"/>
  <sheetViews>
    <sheetView showGridLines="0" zoomScaleNormal="100" workbookViewId="0">
      <pane ySplit="1" topLeftCell="A2" activePane="bottomLeft" state="frozen"/>
      <selection pane="bottomLeft" activeCell="K17" sqref="K17"/>
    </sheetView>
  </sheetViews>
  <sheetFormatPr defaultColWidth="8.7109375" defaultRowHeight="15" x14ac:dyDescent="0.25"/>
  <cols>
    <col min="1" max="1" width="16" customWidth="1"/>
    <col min="2" max="2" width="9.5703125" bestFit="1" customWidth="1"/>
    <col min="3" max="3" width="14.140625" bestFit="1" customWidth="1"/>
    <col min="4" max="4" width="13.140625" bestFit="1" customWidth="1"/>
    <col min="5" max="5" width="12.85546875" bestFit="1" customWidth="1"/>
    <col min="6" max="6" width="16.140625" bestFit="1" customWidth="1"/>
    <col min="7" max="7" width="13" bestFit="1" customWidth="1"/>
    <col min="8" max="8" width="29.7109375" bestFit="1" customWidth="1"/>
    <col min="9" max="9" width="10" bestFit="1" customWidth="1"/>
    <col min="10" max="10" width="16.28515625" customWidth="1"/>
    <col min="11" max="11" width="12.85546875" customWidth="1"/>
    <col min="12" max="12" width="13.140625" customWidth="1"/>
    <col min="13" max="13" width="16.5703125" bestFit="1" customWidth="1"/>
    <col min="14" max="14" width="14.28515625" bestFit="1" customWidth="1"/>
    <col min="15" max="15" width="13.140625" bestFit="1" customWidth="1"/>
    <col min="16" max="16" width="13.140625" customWidth="1"/>
    <col min="17" max="17" width="11.28515625" bestFit="1" customWidth="1"/>
    <col min="18" max="18" width="24.7109375" bestFit="1" customWidth="1"/>
    <col min="19" max="19" width="15.7109375" bestFit="1" customWidth="1"/>
  </cols>
  <sheetData>
    <row r="1" spans="1:19" ht="30" customHeight="1" x14ac:dyDescent="0.25">
      <c r="A1" s="81" t="s">
        <v>367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</row>
    <row r="3" spans="1:19" ht="35.25" customHeight="1" x14ac:dyDescent="0.25">
      <c r="A3" s="1" t="s">
        <v>368</v>
      </c>
      <c r="B3" s="1" t="s">
        <v>369</v>
      </c>
      <c r="C3" s="1" t="s">
        <v>370</v>
      </c>
      <c r="D3" s="1" t="s">
        <v>319</v>
      </c>
      <c r="E3" s="1" t="s">
        <v>320</v>
      </c>
      <c r="F3" s="1" t="s">
        <v>332</v>
      </c>
      <c r="G3" s="1" t="s">
        <v>1</v>
      </c>
      <c r="H3" s="1" t="s">
        <v>2</v>
      </c>
      <c r="I3" s="1" t="s">
        <v>4</v>
      </c>
      <c r="J3" s="1" t="s">
        <v>371</v>
      </c>
      <c r="K3" s="1" t="s">
        <v>372</v>
      </c>
      <c r="L3" s="1" t="s">
        <v>373</v>
      </c>
      <c r="M3" s="1" t="s">
        <v>374</v>
      </c>
      <c r="N3" s="1" t="s">
        <v>375</v>
      </c>
      <c r="O3" s="1" t="s">
        <v>376</v>
      </c>
      <c r="P3" s="1" t="s">
        <v>377</v>
      </c>
      <c r="Q3" s="1" t="s">
        <v>378</v>
      </c>
      <c r="R3" s="1" t="s">
        <v>115</v>
      </c>
      <c r="S3" s="1" t="s">
        <v>379</v>
      </c>
    </row>
    <row r="4" spans="1:19" x14ac:dyDescent="0.25">
      <c r="A4" s="6" t="s">
        <v>380</v>
      </c>
      <c r="B4" s="7">
        <v>10</v>
      </c>
      <c r="C4" s="8">
        <v>46247</v>
      </c>
      <c r="D4" s="6" t="s">
        <v>333</v>
      </c>
      <c r="E4" s="7">
        <v>10</v>
      </c>
      <c r="F4" s="17" t="str">
        <f>tbl_PickingList11[[#This Row],[Request Number]]&amp;"-"&amp;tbl_PickingList11[[#This Row],[Request Line]]</f>
        <v>MR-2026-0001-10</v>
      </c>
      <c r="G4" s="9" t="str">
        <f>_xlfn.XLOOKUP(tbl_PickingList11[[#This Row],[Request Line Key (Helper)]],[1]!tbl_MaterialRequest[Request Line Key (Helper)],[1]!tbl_MaterialRequest[Material Code])</f>
        <v>MAT-00001</v>
      </c>
      <c r="H4" s="9" t="str">
        <f>_xlfn.XLOOKUP(tbl_PickingList11[[#This Row],[Request Line Key (Helper)]],[1]!tbl_MaterialRequest[Request Line Key (Helper)],[1]!tbl_MaterialRequest[Material Description])</f>
        <v>Hydraulic Cylinder Seal Kit 80mm</v>
      </c>
      <c r="I4" s="9" t="str">
        <f>_xlfn.XLOOKUP(tbl_PickingList11[[#This Row],[Request Line Key (Helper)]],[1]!tbl_MaterialRequest[Request Line Key (Helper)],[1]!tbl_MaterialRequest[Base UoM])</f>
        <v>PCS</v>
      </c>
      <c r="J4" s="9" t="str">
        <f>_xlfn.XLOOKUP(tbl_PickingList11[[#This Row],[Request Line Key (Helper)]],[1]!tbl_MaterialRequest[Request Line Key (Helper)],[1]!tbl_MaterialRequest[Requesting Department])</f>
        <v>Production</v>
      </c>
      <c r="K4" s="10" t="str">
        <f>_xlfn.XLOOKUP(tbl_PickingList11[[#This Row],[Request Line Key (Helper)]],[1]!tbl_MaterialRequest[Request Line Key (Helper)],[1]!tbl_MaterialRequest[Request Priority])</f>
        <v>Routine</v>
      </c>
      <c r="L4" s="12">
        <f>_xlfn.XLOOKUP(tbl_PickingList11[[#This Row],[Request Line Key (Helper)]],[1]!tbl_MaterialRequest[Request Line Key (Helper)],[1]!tbl_MaterialRequest[Quantity Requested])</f>
        <v>4</v>
      </c>
      <c r="M4" s="73" t="s">
        <v>381</v>
      </c>
      <c r="N4" s="74" t="s">
        <v>382</v>
      </c>
      <c r="O4" s="11">
        <v>4</v>
      </c>
      <c r="P4" s="16" t="str">
        <f>IF(tbl_PickingList11[[#This Row],[Quantity Requested (Ref)]]=0,"Not Picked",IF(tbl_PickingList11[[#This Row],[Quantity Picked]]&lt;tbl_PickingList11[[#This Row],[Quantity Requested (Ref)]],"Partially Picked","Fully Picked"))</f>
        <v>Fully Picked</v>
      </c>
      <c r="Q4" s="11" t="s">
        <v>240</v>
      </c>
      <c r="R4" s="6"/>
      <c r="S4" s="17" t="str">
        <f>tbl_PickingList11[[#This Row],[Pick Number]]&amp;"-"&amp;tbl_PickingList11[[#This Row],[Pick Line]]</f>
        <v>PL-2026-0001-10</v>
      </c>
    </row>
    <row r="5" spans="1:19" x14ac:dyDescent="0.25">
      <c r="A5" s="6" t="s">
        <v>380</v>
      </c>
      <c r="B5" s="7">
        <v>20</v>
      </c>
      <c r="C5" s="8">
        <v>46247</v>
      </c>
      <c r="D5" s="6" t="s">
        <v>333</v>
      </c>
      <c r="E5" s="7">
        <v>20</v>
      </c>
      <c r="F5" s="17" t="str">
        <f>tbl_PickingList11[[#This Row],[Request Number]]&amp;"-"&amp;tbl_PickingList11[[#This Row],[Request Line]]</f>
        <v>MR-2026-0001-20</v>
      </c>
      <c r="G5" s="9" t="str">
        <f>_xlfn.XLOOKUP(tbl_PickingList11[[#This Row],[Request Line Key (Helper)]],[1]!tbl_MaterialRequest[Request Line Key (Helper)],[1]!tbl_MaterialRequest[Material Code])</f>
        <v>MAT-00008</v>
      </c>
      <c r="H5" s="9" t="str">
        <f>_xlfn.XLOOKUP(tbl_PickingList11[[#This Row],[Request Line Key (Helper)]],[1]!tbl_MaterialRequest[Request Line Key (Helper)],[1]!tbl_MaterialRequest[Material Description])</f>
        <v>Hydraulic Hose 1/2in x 3m</v>
      </c>
      <c r="I5" s="9" t="str">
        <f>_xlfn.XLOOKUP(tbl_PickingList11[[#This Row],[Request Line Key (Helper)]],[1]!tbl_MaterialRequest[Request Line Key (Helper)],[1]!tbl_MaterialRequest[Base UoM])</f>
        <v>PCS</v>
      </c>
      <c r="J5" s="9" t="str">
        <f>_xlfn.XLOOKUP(tbl_PickingList11[[#This Row],[Request Line Key (Helper)]],[1]!tbl_MaterialRequest[Request Line Key (Helper)],[1]!tbl_MaterialRequest[Requesting Department])</f>
        <v>Production</v>
      </c>
      <c r="K5" s="10" t="str">
        <f>_xlfn.XLOOKUP(tbl_PickingList11[[#This Row],[Request Line Key (Helper)]],[1]!tbl_MaterialRequest[Request Line Key (Helper)],[1]!tbl_MaterialRequest[Request Priority])</f>
        <v>Routine</v>
      </c>
      <c r="L5" s="12">
        <f>_xlfn.XLOOKUP(tbl_PickingList11[[#This Row],[Request Line Key (Helper)]],[1]!tbl_MaterialRequest[Request Line Key (Helper)],[1]!tbl_MaterialRequest[Quantity Requested])</f>
        <v>20</v>
      </c>
      <c r="M5" s="73" t="str">
        <f>_xlfn.XLOOKUP(tbl_PickingList11[[#This Row],[Material Code]],[1]!tbl_PutAway[Material Code],[1]!tbl_PutAway[To Location])</f>
        <v>A-01-02-01</v>
      </c>
      <c r="N5" s="74"/>
      <c r="O5" s="11">
        <v>20</v>
      </c>
      <c r="P5" s="16" t="str">
        <f>IF(tbl_PickingList11[[#This Row],[Quantity Requested (Ref)]]=0,"Not Picked",IF(tbl_PickingList11[[#This Row],[Quantity Picked]]&lt;tbl_PickingList11[[#This Row],[Quantity Requested (Ref)]],"Partially Picked","Fully Picked"))</f>
        <v>Fully Picked</v>
      </c>
      <c r="Q5" s="11" t="s">
        <v>240</v>
      </c>
      <c r="R5" s="6"/>
      <c r="S5" s="17" t="str">
        <f>tbl_PickingList11[[#This Row],[Pick Number]]&amp;"-"&amp;tbl_PickingList11[[#This Row],[Pick Line]]</f>
        <v>PL-2026-0001-20</v>
      </c>
    </row>
    <row r="6" spans="1:19" x14ac:dyDescent="0.25">
      <c r="A6" s="6" t="s">
        <v>383</v>
      </c>
      <c r="B6" s="7">
        <v>10</v>
      </c>
      <c r="C6" s="8">
        <v>46251</v>
      </c>
      <c r="D6" s="6" t="s">
        <v>339</v>
      </c>
      <c r="E6" s="7">
        <v>10</v>
      </c>
      <c r="F6" s="17" t="str">
        <f>tbl_PickingList11[[#This Row],[Request Number]]&amp;"-"&amp;tbl_PickingList11[[#This Row],[Request Line]]</f>
        <v>MR-2026-0002-10</v>
      </c>
      <c r="G6" s="9" t="str">
        <f>_xlfn.XLOOKUP(tbl_PickingList11[[#This Row],[Request Line Key (Helper)]],[1]!tbl_MaterialRequest[Request Line Key (Helper)],[1]!tbl_MaterialRequest[Material Code])</f>
        <v>MAT-00003</v>
      </c>
      <c r="H6" s="9" t="str">
        <f>_xlfn.XLOOKUP(tbl_PickingList11[[#This Row],[Request Line Key (Helper)]],[1]!tbl_MaterialRequest[Request Line Key (Helper)],[1]!tbl_MaterialRequest[Material Description])</f>
        <v>Engine Oil Filter (Cat 320D)</v>
      </c>
      <c r="I6" s="9" t="str">
        <f>_xlfn.XLOOKUP(tbl_PickingList11[[#This Row],[Request Line Key (Helper)]],[1]!tbl_MaterialRequest[Request Line Key (Helper)],[1]!tbl_MaterialRequest[Base UoM])</f>
        <v>PCS</v>
      </c>
      <c r="J6" s="9" t="str">
        <f>_xlfn.XLOOKUP(tbl_PickingList11[[#This Row],[Request Line Key (Helper)]],[1]!tbl_MaterialRequest[Request Line Key (Helper)],[1]!tbl_MaterialRequest[Requesting Department])</f>
        <v>Maintenance</v>
      </c>
      <c r="K6" s="10" t="str">
        <f>_xlfn.XLOOKUP(tbl_PickingList11[[#This Row],[Request Line Key (Helper)]],[1]!tbl_MaterialRequest[Request Line Key (Helper)],[1]!tbl_MaterialRequest[Request Priority])</f>
        <v>Urgent</v>
      </c>
      <c r="L6" s="12">
        <f>_xlfn.XLOOKUP(tbl_PickingList11[[#This Row],[Request Line Key (Helper)]],[1]!tbl_MaterialRequest[Request Line Key (Helper)],[1]!tbl_MaterialRequest[Quantity Requested])</f>
        <v>100</v>
      </c>
      <c r="M6" s="73" t="str">
        <f>_xlfn.XLOOKUP(tbl_PickingList11[[#This Row],[Material Code]],[1]!tbl_PutAway[Material Code],[1]!tbl_PutAway[To Location])</f>
        <v>A-02-01-01</v>
      </c>
      <c r="N6" s="74"/>
      <c r="O6" s="11">
        <v>100</v>
      </c>
      <c r="P6" s="16" t="str">
        <f>IF(tbl_PickingList11[[#This Row],[Quantity Requested (Ref)]]=0,"Not Picked",IF(tbl_PickingList11[[#This Row],[Quantity Picked]]&lt;tbl_PickingList11[[#This Row],[Quantity Requested (Ref)]],"Partially Picked","Fully Picked"))</f>
        <v>Fully Picked</v>
      </c>
      <c r="Q6" s="11" t="s">
        <v>384</v>
      </c>
      <c r="R6" s="6" t="s">
        <v>385</v>
      </c>
      <c r="S6" s="17" t="str">
        <f>tbl_PickingList11[[#This Row],[Pick Number]]&amp;"-"&amp;tbl_PickingList11[[#This Row],[Pick Line]]</f>
        <v>PL-2026-0002-10</v>
      </c>
    </row>
    <row r="7" spans="1:19" x14ac:dyDescent="0.25">
      <c r="A7" s="6" t="s">
        <v>386</v>
      </c>
      <c r="B7" s="7">
        <v>10</v>
      </c>
      <c r="C7" s="8">
        <v>46255</v>
      </c>
      <c r="D7" s="6" t="s">
        <v>343</v>
      </c>
      <c r="E7" s="7">
        <v>10</v>
      </c>
      <c r="F7" s="17" t="str">
        <f>tbl_PickingList11[[#This Row],[Request Number]]&amp;"-"&amp;tbl_PickingList11[[#This Row],[Request Line]]</f>
        <v>MR-2026-0003-10</v>
      </c>
      <c r="G7" s="9" t="str">
        <f>_xlfn.XLOOKUP(tbl_PickingList11[[#This Row],[Request Line Key (Helper)]],[1]!tbl_MaterialRequest[Request Line Key (Helper)],[1]!tbl_MaterialRequest[Material Code])</f>
        <v>MAT-00004</v>
      </c>
      <c r="H7" s="9" t="str">
        <f>_xlfn.XLOOKUP(tbl_PickingList11[[#This Row],[Request Line Key (Helper)]],[1]!tbl_MaterialRequest[Request Line Key (Helper)],[1]!tbl_MaterialRequest[Material Description])</f>
        <v>Hex Bolt M12x50 Grade 8.8</v>
      </c>
      <c r="I7" s="9" t="str">
        <f>_xlfn.XLOOKUP(tbl_PickingList11[[#This Row],[Request Line Key (Helper)]],[1]!tbl_MaterialRequest[Request Line Key (Helper)],[1]!tbl_MaterialRequest[Base UoM])</f>
        <v>PCS</v>
      </c>
      <c r="J7" s="9" t="str">
        <f>_xlfn.XLOOKUP(tbl_PickingList11[[#This Row],[Request Line Key (Helper)]],[1]!tbl_MaterialRequest[Request Line Key (Helper)],[1]!tbl_MaterialRequest[Requesting Department])</f>
        <v>Production</v>
      </c>
      <c r="K7" s="10" t="str">
        <f>_xlfn.XLOOKUP(tbl_PickingList11[[#This Row],[Request Line Key (Helper)]],[1]!tbl_MaterialRequest[Request Line Key (Helper)],[1]!tbl_MaterialRequest[Request Priority])</f>
        <v>Routine</v>
      </c>
      <c r="L7" s="12">
        <f>_xlfn.XLOOKUP(tbl_PickingList11[[#This Row],[Request Line Key (Helper)]],[1]!tbl_MaterialRequest[Request Line Key (Helper)],[1]!tbl_MaterialRequest[Quantity Requested])</f>
        <v>3000</v>
      </c>
      <c r="M7" s="73" t="str">
        <f>_xlfn.XLOOKUP(tbl_PickingList11[[#This Row],[Material Code]],[1]!tbl_PutAway[Material Code],[1]!tbl_PutAway[To Location])</f>
        <v>D-01-01-01</v>
      </c>
      <c r="N7" s="74"/>
      <c r="O7" s="11">
        <v>3000</v>
      </c>
      <c r="P7" s="16" t="str">
        <f>IF(tbl_PickingList11[[#This Row],[Quantity Requested (Ref)]]=0,"Not Picked",IF(tbl_PickingList11[[#This Row],[Quantity Picked]]&lt;tbl_PickingList11[[#This Row],[Quantity Requested (Ref)]],"Partially Picked","Fully Picked"))</f>
        <v>Fully Picked</v>
      </c>
      <c r="Q7" s="11" t="s">
        <v>239</v>
      </c>
      <c r="R7" s="6"/>
      <c r="S7" s="17" t="str">
        <f>tbl_PickingList11[[#This Row],[Pick Number]]&amp;"-"&amp;tbl_PickingList11[[#This Row],[Pick Line]]</f>
        <v>PL-2026-0003-10</v>
      </c>
    </row>
    <row r="8" spans="1:19" x14ac:dyDescent="0.25">
      <c r="A8" s="6" t="s">
        <v>387</v>
      </c>
      <c r="B8" s="7">
        <v>10</v>
      </c>
      <c r="C8" s="8">
        <v>46257</v>
      </c>
      <c r="D8" s="6" t="s">
        <v>350</v>
      </c>
      <c r="E8" s="7">
        <v>10</v>
      </c>
      <c r="F8" s="17" t="str">
        <f>tbl_PickingList11[[#This Row],[Request Number]]&amp;"-"&amp;tbl_PickingList11[[#This Row],[Request Line]]</f>
        <v>MR-2026-0005-10</v>
      </c>
      <c r="G8" s="9" t="str">
        <f>_xlfn.XLOOKUP(tbl_PickingList11[[#This Row],[Request Line Key (Helper)]],[1]!tbl_MaterialRequest[Request Line Key (Helper)],[1]!tbl_MaterialRequest[Material Code])</f>
        <v>MAT-00010</v>
      </c>
      <c r="H8" s="9" t="str">
        <f>_xlfn.XLOOKUP(tbl_PickingList11[[#This Row],[Request Line Key (Helper)]],[1]!tbl_MaterialRequest[Request Line Key (Helper)],[1]!tbl_MaterialRequest[Material Description])</f>
        <v>Welding Electrode E7018 3.2mm</v>
      </c>
      <c r="I8" s="9" t="str">
        <f>_xlfn.XLOOKUP(tbl_PickingList11[[#This Row],[Request Line Key (Helper)]],[1]!tbl_MaterialRequest[Request Line Key (Helper)],[1]!tbl_MaterialRequest[Base UoM])</f>
        <v>KG</v>
      </c>
      <c r="J8" s="9" t="str">
        <f>_xlfn.XLOOKUP(tbl_PickingList11[[#This Row],[Request Line Key (Helper)]],[1]!tbl_MaterialRequest[Request Line Key (Helper)],[1]!tbl_MaterialRequest[Requesting Department])</f>
        <v>Production</v>
      </c>
      <c r="K8" s="10" t="str">
        <f>_xlfn.XLOOKUP(tbl_PickingList11[[#This Row],[Request Line Key (Helper)]],[1]!tbl_MaterialRequest[Request Line Key (Helper)],[1]!tbl_MaterialRequest[Request Priority])</f>
        <v>Urgent</v>
      </c>
      <c r="L8" s="12">
        <f>_xlfn.XLOOKUP(tbl_PickingList11[[#This Row],[Request Line Key (Helper)]],[1]!tbl_MaterialRequest[Request Line Key (Helper)],[1]!tbl_MaterialRequest[Quantity Requested])</f>
        <v>6</v>
      </c>
      <c r="M8" s="73" t="str">
        <f>_xlfn.XLOOKUP(tbl_PickingList11[[#This Row],[Material Code]],[1]!tbl_PutAway[Material Code],[1]!tbl_PutAway[To Location])</f>
        <v>D-01-01-02</v>
      </c>
      <c r="N8" s="74"/>
      <c r="O8" s="11">
        <v>6</v>
      </c>
      <c r="P8" s="16" t="str">
        <f>IF(tbl_PickingList11[[#This Row],[Quantity Requested (Ref)]]=0,"Not Picked",IF(tbl_PickingList11[[#This Row],[Quantity Picked]]&lt;tbl_PickingList11[[#This Row],[Quantity Requested (Ref)]],"Partially Picked","Fully Picked"))</f>
        <v>Fully Picked</v>
      </c>
      <c r="Q8" s="11" t="s">
        <v>242</v>
      </c>
      <c r="R8" s="6"/>
      <c r="S8" s="17" t="str">
        <f>tbl_PickingList11[[#This Row],[Pick Number]]&amp;"-"&amp;tbl_PickingList11[[#This Row],[Pick Line]]</f>
        <v>PL-2026-0004-10</v>
      </c>
    </row>
    <row r="9" spans="1:19" x14ac:dyDescent="0.25">
      <c r="A9" s="6" t="s">
        <v>387</v>
      </c>
      <c r="B9" s="7">
        <v>20</v>
      </c>
      <c r="C9" s="8">
        <v>46257</v>
      </c>
      <c r="D9" s="6" t="s">
        <v>350</v>
      </c>
      <c r="E9" s="7">
        <v>20</v>
      </c>
      <c r="F9" s="17" t="str">
        <f>tbl_PickingList11[[#This Row],[Request Number]]&amp;"-"&amp;tbl_PickingList11[[#This Row],[Request Line]]</f>
        <v>MR-2026-0005-20</v>
      </c>
      <c r="G9" s="9" t="str">
        <f>_xlfn.XLOOKUP(tbl_PickingList11[[#This Row],[Request Line Key (Helper)]],[1]!tbl_MaterialRequest[Request Line Key (Helper)],[1]!tbl_MaterialRequest[Material Code])</f>
        <v>MAT-00014</v>
      </c>
      <c r="H9" s="9" t="str">
        <f>_xlfn.XLOOKUP(tbl_PickingList11[[#This Row],[Request Line Key (Helper)]],[1]!tbl_MaterialRequest[Request Line Key (Helper)],[1]!tbl_MaterialRequest[Material Description])</f>
        <v>Flat Washer M12 Zinc Plated</v>
      </c>
      <c r="I9" s="9" t="str">
        <f>_xlfn.XLOOKUP(tbl_PickingList11[[#This Row],[Request Line Key (Helper)]],[1]!tbl_MaterialRequest[Request Line Key (Helper)],[1]!tbl_MaterialRequest[Base UoM])</f>
        <v>PCS</v>
      </c>
      <c r="J9" s="9" t="str">
        <f>_xlfn.XLOOKUP(tbl_PickingList11[[#This Row],[Request Line Key (Helper)]],[1]!tbl_MaterialRequest[Request Line Key (Helper)],[1]!tbl_MaterialRequest[Requesting Department])</f>
        <v>Assembly</v>
      </c>
      <c r="K9" s="10" t="str">
        <f>_xlfn.XLOOKUP(tbl_PickingList11[[#This Row],[Request Line Key (Helper)]],[1]!tbl_MaterialRequest[Request Line Key (Helper)],[1]!tbl_MaterialRequest[Request Priority])</f>
        <v>Routine</v>
      </c>
      <c r="L9" s="12">
        <f>_xlfn.XLOOKUP(tbl_PickingList11[[#This Row],[Request Line Key (Helper)]],[1]!tbl_MaterialRequest[Request Line Key (Helper)],[1]!tbl_MaterialRequest[Quantity Requested])</f>
        <v>9000</v>
      </c>
      <c r="M9" s="73" t="str">
        <f>_xlfn.XLOOKUP(tbl_PickingList11[[#This Row],[Material Code]],[1]!tbl_PutAway[Material Code],[1]!tbl_PutAway[To Location])</f>
        <v>D-01-01-02</v>
      </c>
      <c r="N9" s="74"/>
      <c r="O9" s="11">
        <v>9000</v>
      </c>
      <c r="P9" s="16" t="str">
        <f>IF(tbl_PickingList11[[#This Row],[Quantity Requested (Ref)]]=0,"Not Picked",IF(tbl_PickingList11[[#This Row],[Quantity Picked]]&lt;tbl_PickingList11[[#This Row],[Quantity Requested (Ref)]],"Partially Picked","Fully Picked"))</f>
        <v>Fully Picked</v>
      </c>
      <c r="Q9" s="11" t="s">
        <v>242</v>
      </c>
      <c r="R9" s="6" t="s">
        <v>388</v>
      </c>
      <c r="S9" s="17" t="str">
        <f>tbl_PickingList11[[#This Row],[Pick Number]]&amp;"-"&amp;tbl_PickingList11[[#This Row],[Pick Line]]</f>
        <v>PL-2026-0004-20</v>
      </c>
    </row>
    <row r="10" spans="1:19" x14ac:dyDescent="0.25">
      <c r="A10" s="6" t="s">
        <v>389</v>
      </c>
      <c r="B10" s="7">
        <v>10</v>
      </c>
      <c r="C10" s="8">
        <v>46260</v>
      </c>
      <c r="D10" s="6" t="s">
        <v>352</v>
      </c>
      <c r="E10" s="7">
        <v>10</v>
      </c>
      <c r="F10" s="17" t="str">
        <f>tbl_PickingList11[[#This Row],[Request Number]]&amp;"-"&amp;tbl_PickingList11[[#This Row],[Request Line]]</f>
        <v>MR-2026-0006-10</v>
      </c>
      <c r="G10" s="9" t="str">
        <f>_xlfn.XLOOKUP(tbl_PickingList11[[#This Row],[Request Line Key (Helper)]],[1]!tbl_MaterialRequest[Request Line Key (Helper)],[1]!tbl_MaterialRequest[Material Code])</f>
        <v>MAT-00002</v>
      </c>
      <c r="H10" s="9" t="str">
        <f>_xlfn.XLOOKUP(tbl_PickingList11[[#This Row],[Request Line Key (Helper)]],[1]!tbl_MaterialRequest[Request Line Key (Helper)],[1]!tbl_MaterialRequest[Material Description])</f>
        <v>Steel Plate 10mm x 2m x 1m</v>
      </c>
      <c r="I10" s="9" t="str">
        <f>_xlfn.XLOOKUP(tbl_PickingList11[[#This Row],[Request Line Key (Helper)]],[1]!tbl_MaterialRequest[Request Line Key (Helper)],[1]!tbl_MaterialRequest[Base UoM])</f>
        <v>PCS</v>
      </c>
      <c r="J10" s="9" t="str">
        <f>_xlfn.XLOOKUP(tbl_PickingList11[[#This Row],[Request Line Key (Helper)]],[1]!tbl_MaterialRequest[Request Line Key (Helper)],[1]!tbl_MaterialRequest[Requesting Department])</f>
        <v>Maintenance</v>
      </c>
      <c r="K10" s="10" t="str">
        <f>_xlfn.XLOOKUP(tbl_PickingList11[[#This Row],[Request Line Key (Helper)]],[1]!tbl_MaterialRequest[Request Line Key (Helper)],[1]!tbl_MaterialRequest[Request Priority])</f>
        <v>Routine</v>
      </c>
      <c r="L10" s="12">
        <f>_xlfn.XLOOKUP(tbl_PickingList11[[#This Row],[Request Line Key (Helper)]],[1]!tbl_MaterialRequest[Request Line Key (Helper)],[1]!tbl_MaterialRequest[Quantity Requested])</f>
        <v>15</v>
      </c>
      <c r="M10" s="73" t="str">
        <f>_xlfn.XLOOKUP(tbl_PickingList11[[#This Row],[Material Code]],[1]!tbl_PutAway[Material Code],[1]!tbl_PutAway[To Location])</f>
        <v>C-01-01</v>
      </c>
      <c r="N10" s="74"/>
      <c r="O10" s="11">
        <v>15</v>
      </c>
      <c r="P10" s="16" t="str">
        <f>IF(tbl_PickingList11[[#This Row],[Quantity Requested (Ref)]]=0,"Not Picked",IF(tbl_PickingList11[[#This Row],[Quantity Picked]]&lt;tbl_PickingList11[[#This Row],[Quantity Requested (Ref)]],"Partially Picked","Fully Picked"))</f>
        <v>Fully Picked</v>
      </c>
      <c r="Q10" s="11" t="s">
        <v>240</v>
      </c>
      <c r="R10" s="6"/>
      <c r="S10" s="17" t="str">
        <f>tbl_PickingList11[[#This Row],[Pick Number]]&amp;"-"&amp;tbl_PickingList11[[#This Row],[Pick Line]]</f>
        <v>PL-2026-0005-10</v>
      </c>
    </row>
    <row r="11" spans="1:19" x14ac:dyDescent="0.25">
      <c r="A11" s="6" t="s">
        <v>390</v>
      </c>
      <c r="B11" s="7">
        <v>10</v>
      </c>
      <c r="C11" s="8">
        <v>46267</v>
      </c>
      <c r="D11" s="6" t="s">
        <v>357</v>
      </c>
      <c r="E11" s="7">
        <v>10</v>
      </c>
      <c r="F11" s="17" t="str">
        <f>tbl_PickingList11[[#This Row],[Request Number]]&amp;"-"&amp;tbl_PickingList11[[#This Row],[Request Line]]</f>
        <v>MR-2026-0008-10</v>
      </c>
      <c r="G11" s="9" t="str">
        <f>_xlfn.XLOOKUP(tbl_PickingList11[[#This Row],[Request Line Key (Helper)]],[1]!tbl_MaterialRequest[Request Line Key (Helper)],[1]!tbl_MaterialRequest[Material Code])</f>
        <v>MAT-00007</v>
      </c>
      <c r="H11" s="9" t="str">
        <f>_xlfn.XLOOKUP(tbl_PickingList11[[#This Row],[Request Line Key (Helper)]],[1]!tbl_MaterialRequest[Request Line Key (Helper)],[1]!tbl_MaterialRequest[Material Description])</f>
        <v>Air Filter Element - Primary</v>
      </c>
      <c r="I11" s="9" t="str">
        <f>_xlfn.XLOOKUP(tbl_PickingList11[[#This Row],[Request Line Key (Helper)]],[1]!tbl_MaterialRequest[Request Line Key (Helper)],[1]!tbl_MaterialRequest[Base UoM])</f>
        <v>PCS</v>
      </c>
      <c r="J11" s="9" t="str">
        <f>_xlfn.XLOOKUP(tbl_PickingList11[[#This Row],[Request Line Key (Helper)]],[1]!tbl_MaterialRequest[Request Line Key (Helper)],[1]!tbl_MaterialRequest[Requesting Department])</f>
        <v>QC</v>
      </c>
      <c r="K11" s="10" t="str">
        <f>_xlfn.XLOOKUP(tbl_PickingList11[[#This Row],[Request Line Key (Helper)]],[1]!tbl_MaterialRequest[Request Line Key (Helper)],[1]!tbl_MaterialRequest[Request Priority])</f>
        <v>Routine</v>
      </c>
      <c r="L11" s="12">
        <f>_xlfn.XLOOKUP(tbl_PickingList11[[#This Row],[Request Line Key (Helper)]],[1]!tbl_MaterialRequest[Request Line Key (Helper)],[1]!tbl_MaterialRequest[Quantity Requested])</f>
        <v>24</v>
      </c>
      <c r="M11" s="73" t="str">
        <f>_xlfn.XLOOKUP(tbl_PickingList11[[#This Row],[Material Code]],[1]!tbl_PutAway[Material Code],[1]!tbl_PutAway[To Location])</f>
        <v>A-02-01-02</v>
      </c>
      <c r="N11" s="74"/>
      <c r="O11" s="11">
        <v>24</v>
      </c>
      <c r="P11" s="16" t="str">
        <f>IF(tbl_PickingList11[[#This Row],[Quantity Requested (Ref)]]=0,"Not Picked",IF(tbl_PickingList11[[#This Row],[Quantity Picked]]&lt;tbl_PickingList11[[#This Row],[Quantity Requested (Ref)]],"Partially Picked","Fully Picked"))</f>
        <v>Fully Picked</v>
      </c>
      <c r="Q11" s="11" t="s">
        <v>239</v>
      </c>
      <c r="R11" s="6" t="s">
        <v>391</v>
      </c>
      <c r="S11" s="17" t="str">
        <f>tbl_PickingList11[[#This Row],[Pick Number]]&amp;"-"&amp;tbl_PickingList11[[#This Row],[Pick Line]]</f>
        <v>PL-2026-0006-10</v>
      </c>
    </row>
    <row r="12" spans="1:19" x14ac:dyDescent="0.25">
      <c r="A12" s="6" t="s">
        <v>392</v>
      </c>
      <c r="B12" s="7">
        <v>10</v>
      </c>
      <c r="C12" s="8">
        <v>46269</v>
      </c>
      <c r="D12" s="6" t="s">
        <v>360</v>
      </c>
      <c r="E12" s="7">
        <v>10</v>
      </c>
      <c r="F12" s="17" t="str">
        <f>tbl_PickingList11[[#This Row],[Request Number]]&amp;"-"&amp;tbl_PickingList11[[#This Row],[Request Line]]</f>
        <v>MR-2026-0009-10</v>
      </c>
      <c r="G12" s="9" t="str">
        <f>_xlfn.XLOOKUP(tbl_PickingList11[[#This Row],[Request Line Key (Helper)]],[1]!tbl_MaterialRequest[Request Line Key (Helper)],[1]!tbl_MaterialRequest[Material Code])</f>
        <v>MAT-00006</v>
      </c>
      <c r="H12" s="9" t="str">
        <f>_xlfn.XLOOKUP(tbl_PickingList11[[#This Row],[Request Line Key (Helper)]],[1]!tbl_MaterialRequest[Request Line Key (Helper)],[1]!tbl_MaterialRequest[Material Description])</f>
        <v>Track Roller Assembly</v>
      </c>
      <c r="I12" s="9" t="str">
        <f>_xlfn.XLOOKUP(tbl_PickingList11[[#This Row],[Request Line Key (Helper)]],[1]!tbl_MaterialRequest[Request Line Key (Helper)],[1]!tbl_MaterialRequest[Base UoM])</f>
        <v>PCS</v>
      </c>
      <c r="J12" s="9" t="str">
        <f>_xlfn.XLOOKUP(tbl_PickingList11[[#This Row],[Request Line Key (Helper)]],[1]!tbl_MaterialRequest[Request Line Key (Helper)],[1]!tbl_MaterialRequest[Requesting Department])</f>
        <v>Production</v>
      </c>
      <c r="K12" s="10" t="str">
        <f>_xlfn.XLOOKUP(tbl_PickingList11[[#This Row],[Request Line Key (Helper)]],[1]!tbl_MaterialRequest[Request Line Key (Helper)],[1]!tbl_MaterialRequest[Request Priority])</f>
        <v>Urgent</v>
      </c>
      <c r="L12" s="12">
        <f>_xlfn.XLOOKUP(tbl_PickingList11[[#This Row],[Request Line Key (Helper)]],[1]!tbl_MaterialRequest[Request Line Key (Helper)],[1]!tbl_MaterialRequest[Quantity Requested])</f>
        <v>40</v>
      </c>
      <c r="M12" s="73" t="e">
        <f>_xlfn.XLOOKUP(tbl_PickingList11[[#This Row],[Material Code]],[1]!tbl_PutAway[Material Code],[1]!tbl_PutAway[To Location])</f>
        <v>#N/A</v>
      </c>
      <c r="N12" s="74">
        <f>SUMIF('[1]06_Put_Away'!$F:$F,G12,'[1]06_Put_Away'!$I:$I)-SUMIF('[1]09_Goods_Issue'!$J:$J,G12,'[1]09_Goods_Issue'!$P:$P)</f>
        <v>0</v>
      </c>
      <c r="O12" s="11">
        <v>40</v>
      </c>
      <c r="P12" s="16" t="str">
        <f>IF(tbl_PickingList11[[#This Row],[Quantity Requested (Ref)]]=0,"Not Picked",IF(tbl_PickingList11[[#This Row],[Quantity Picked]]&lt;tbl_PickingList11[[#This Row],[Quantity Requested (Ref)]],"Partially Picked","Fully Picked"))</f>
        <v>Fully Picked</v>
      </c>
      <c r="Q12" s="11" t="s">
        <v>242</v>
      </c>
      <c r="R12" s="6" t="s">
        <v>393</v>
      </c>
      <c r="S12" s="17" t="str">
        <f>tbl_PickingList11[[#This Row],[Pick Number]]&amp;"-"&amp;tbl_PickingList11[[#This Row],[Pick Line]]</f>
        <v>PL-2026-0007-10</v>
      </c>
    </row>
    <row r="13" spans="1:19" x14ac:dyDescent="0.25">
      <c r="A13" s="6" t="s">
        <v>394</v>
      </c>
      <c r="B13" s="7">
        <v>10</v>
      </c>
      <c r="C13" s="8">
        <v>46271</v>
      </c>
      <c r="D13" s="6" t="s">
        <v>362</v>
      </c>
      <c r="E13" s="7">
        <v>20</v>
      </c>
      <c r="F13" s="17" t="str">
        <f>tbl_PickingList11[[#This Row],[Request Number]]&amp;"-"&amp;tbl_PickingList11[[#This Row],[Request Line]]</f>
        <v>MR-2026-0010-20</v>
      </c>
      <c r="G13" s="9" t="str">
        <f>_xlfn.XLOOKUP(tbl_PickingList11[[#This Row],[Request Line Key (Helper)]],[1]!tbl_MaterialRequest[Request Line Key (Helper)],[1]!tbl_MaterialRequest[Material Code])</f>
        <v>MAT-00012</v>
      </c>
      <c r="H13" s="9" t="str">
        <f>_xlfn.XLOOKUP(tbl_PickingList11[[#This Row],[Request Line Key (Helper)]],[1]!tbl_MaterialRequest[Request Line Key (Helper)],[1]!tbl_MaterialRequest[Material Description])</f>
        <v>Bucket Teeth (CAT style)</v>
      </c>
      <c r="I13" s="9" t="str">
        <f>_xlfn.XLOOKUP(tbl_PickingList11[[#This Row],[Request Line Key (Helper)]],[1]!tbl_MaterialRequest[Request Line Key (Helper)],[1]!tbl_MaterialRequest[Base UoM])</f>
        <v>PCS</v>
      </c>
      <c r="J13" s="9" t="str">
        <f>_xlfn.XLOOKUP(tbl_PickingList11[[#This Row],[Request Line Key (Helper)]],[1]!tbl_MaterialRequest[Request Line Key (Helper)],[1]!tbl_MaterialRequest[Requesting Department])</f>
        <v>Production</v>
      </c>
      <c r="K13" s="10" t="str">
        <f>_xlfn.XLOOKUP(tbl_PickingList11[[#This Row],[Request Line Key (Helper)]],[1]!tbl_MaterialRequest[Request Line Key (Helper)],[1]!tbl_MaterialRequest[Request Priority])</f>
        <v>Routine</v>
      </c>
      <c r="L13" s="12">
        <f>_xlfn.XLOOKUP(tbl_PickingList11[[#This Row],[Request Line Key (Helper)]],[1]!tbl_MaterialRequest[Request Line Key (Helper)],[1]!tbl_MaterialRequest[Quantity Requested])</f>
        <v>36</v>
      </c>
      <c r="M13" s="73" t="e">
        <f>_xlfn.XLOOKUP(tbl_PickingList11[[#This Row],[Material Code]],[1]!tbl_PutAway[Material Code],[1]!tbl_PutAway[To Location])</f>
        <v>#N/A</v>
      </c>
      <c r="N13" s="74">
        <f>SUMIF('[1]06_Put_Away'!$F:$F,G13,'[1]06_Put_Away'!$I:$I)-SUMIF('[1]09_Goods_Issue'!$J:$J,G13,'[1]09_Goods_Issue'!$P:$P)</f>
        <v>0</v>
      </c>
      <c r="O13" s="11">
        <v>36</v>
      </c>
      <c r="P13" s="16" t="str">
        <f>IF(tbl_PickingList11[[#This Row],[Quantity Requested (Ref)]]=0,"Not Picked",IF(tbl_PickingList11[[#This Row],[Quantity Picked]]&lt;tbl_PickingList11[[#This Row],[Quantity Requested (Ref)]],"Partially Picked","Fully Picked"))</f>
        <v>Fully Picked</v>
      </c>
      <c r="Q13" s="11" t="s">
        <v>242</v>
      </c>
      <c r="R13" s="6"/>
      <c r="S13" s="17" t="str">
        <f>tbl_PickingList11[[#This Row],[Pick Number]]&amp;"-"&amp;tbl_PickingList11[[#This Row],[Pick Line]]</f>
        <v>PL-2026-0008-10</v>
      </c>
    </row>
    <row r="14" spans="1:19" x14ac:dyDescent="0.25">
      <c r="A14" s="6" t="s">
        <v>395</v>
      </c>
      <c r="B14" s="7">
        <v>10</v>
      </c>
      <c r="C14" s="8">
        <v>46274</v>
      </c>
      <c r="D14" s="6" t="s">
        <v>364</v>
      </c>
      <c r="E14" s="7">
        <v>10</v>
      </c>
      <c r="F14" s="17" t="str">
        <f>tbl_PickingList11[[#This Row],[Request Number]]&amp;"-"&amp;tbl_PickingList11[[#This Row],[Request Line]]</f>
        <v>MR-2026-0011-10</v>
      </c>
      <c r="G14" s="9" t="str">
        <f>_xlfn.XLOOKUP(tbl_PickingList11[[#This Row],[Request Line Key (Helper)]],[1]!tbl_MaterialRequest[Request Line Key (Helper)],[1]!tbl_MaterialRequest[Material Code])</f>
        <v>MAT-00013</v>
      </c>
      <c r="H14" s="9" t="str">
        <f>_xlfn.XLOOKUP(tbl_PickingList11[[#This Row],[Request Line Key (Helper)]],[1]!tbl_MaterialRequest[Request Line Key (Helper)],[1]!tbl_MaterialRequest[Material Description])</f>
        <v>Radiator Coolant 20L</v>
      </c>
      <c r="I14" s="9" t="str">
        <f>_xlfn.XLOOKUP(tbl_PickingList11[[#This Row],[Request Line Key (Helper)]],[1]!tbl_MaterialRequest[Request Line Key (Helper)],[1]!tbl_MaterialRequest[Base UoM])</f>
        <v>LTR</v>
      </c>
      <c r="J14" s="9" t="str">
        <f>_xlfn.XLOOKUP(tbl_PickingList11[[#This Row],[Request Line Key (Helper)]],[1]!tbl_MaterialRequest[Request Line Key (Helper)],[1]!tbl_MaterialRequest[Requesting Department])</f>
        <v>Maintenance</v>
      </c>
      <c r="K14" s="10" t="str">
        <f>_xlfn.XLOOKUP(tbl_PickingList11[[#This Row],[Request Line Key (Helper)]],[1]!tbl_MaterialRequest[Request Line Key (Helper)],[1]!tbl_MaterialRequest[Request Priority])</f>
        <v>Routine</v>
      </c>
      <c r="L14" s="12">
        <f>_xlfn.XLOOKUP(tbl_PickingList11[[#This Row],[Request Line Key (Helper)]],[1]!tbl_MaterialRequest[Request Line Key (Helper)],[1]!tbl_MaterialRequest[Quantity Requested])</f>
        <v>80</v>
      </c>
      <c r="M14" s="73" t="str">
        <f>_xlfn.XLOOKUP(tbl_PickingList11[[#This Row],[Material Code]],[1]!tbl_PutAway[Material Code],[1]!tbl_PutAway[To Location])</f>
        <v>D-02-01-02</v>
      </c>
      <c r="N14" s="74">
        <f>SUMIF('[1]06_Put_Away'!$F:$F,G14,'[1]06_Put_Away'!$I:$I)-SUMIF('[1]09_Goods_Issue'!$J:$J,G14,'[1]09_Goods_Issue'!$P:$P)</f>
        <v>0</v>
      </c>
      <c r="O14" s="11">
        <v>80</v>
      </c>
      <c r="P14" s="16" t="str">
        <f>IF(tbl_PickingList11[[#This Row],[Quantity Requested (Ref)]]=0,"Not Picked",IF(tbl_PickingList11[[#This Row],[Quantity Picked]]&lt;tbl_PickingList11[[#This Row],[Quantity Requested (Ref)]],"Partially Picked","Fully Picked"))</f>
        <v>Fully Picked</v>
      </c>
      <c r="Q14" s="11" t="s">
        <v>384</v>
      </c>
      <c r="R14" s="6" t="s">
        <v>365</v>
      </c>
      <c r="S14" s="17" t="str">
        <f>tbl_PickingList11[[#This Row],[Pick Number]]&amp;"-"&amp;tbl_PickingList11[[#This Row],[Pick Line]]</f>
        <v>PL-2026-0009-10</v>
      </c>
    </row>
    <row r="15" spans="1:19" x14ac:dyDescent="0.25">
      <c r="A15" s="6" t="s">
        <v>396</v>
      </c>
      <c r="B15" s="7">
        <v>10</v>
      </c>
      <c r="C15" s="8">
        <v>46276</v>
      </c>
      <c r="D15" s="6" t="s">
        <v>366</v>
      </c>
      <c r="E15" s="7">
        <v>10</v>
      </c>
      <c r="F15" s="17" t="str">
        <f>tbl_PickingList11[[#This Row],[Request Number]]&amp;"-"&amp;tbl_PickingList11[[#This Row],[Request Line]]</f>
        <v>MR-2026-0012-10</v>
      </c>
      <c r="G15" s="9" t="str">
        <f>_xlfn.XLOOKUP(tbl_PickingList11[[#This Row],[Request Line Key (Helper)]],[1]!tbl_MaterialRequest[Request Line Key (Helper)],[1]!tbl_MaterialRequest[Material Code])</f>
        <v>MAT-00015</v>
      </c>
      <c r="H15" s="9" t="str">
        <f>_xlfn.XLOOKUP(tbl_PickingList11[[#This Row],[Request Line Key (Helper)]],[1]!tbl_MaterialRequest[Request Line Key (Helper)],[1]!tbl_MaterialRequest[Material Description])</f>
        <v>Turbocharger Assembly (Cat C15)</v>
      </c>
      <c r="I15" s="9" t="str">
        <f>_xlfn.XLOOKUP(tbl_PickingList11[[#This Row],[Request Line Key (Helper)]],[1]!tbl_MaterialRequest[Request Line Key (Helper)],[1]!tbl_MaterialRequest[Base UoM])</f>
        <v>PCS</v>
      </c>
      <c r="J15" s="9" t="str">
        <f>_xlfn.XLOOKUP(tbl_PickingList11[[#This Row],[Request Line Key (Helper)]],[1]!tbl_MaterialRequest[Request Line Key (Helper)],[1]!tbl_MaterialRequest[Requesting Department])</f>
        <v>Production</v>
      </c>
      <c r="K15" s="10" t="str">
        <f>_xlfn.XLOOKUP(tbl_PickingList11[[#This Row],[Request Line Key (Helper)]],[1]!tbl_MaterialRequest[Request Line Key (Helper)],[1]!tbl_MaterialRequest[Request Priority])</f>
        <v>Routine</v>
      </c>
      <c r="L15" s="12">
        <f>_xlfn.XLOOKUP(tbl_PickingList11[[#This Row],[Request Line Key (Helper)]],[1]!tbl_MaterialRequest[Request Line Key (Helper)],[1]!tbl_MaterialRequest[Quantity Requested])</f>
        <v>150</v>
      </c>
      <c r="M15" s="73" t="e">
        <f>_xlfn.XLOOKUP(tbl_PickingList11[[#This Row],[Material Code]],[1]!tbl_PutAway[Material Code],[1]!tbl_PutAway[To Location])</f>
        <v>#N/A</v>
      </c>
      <c r="N15" s="74">
        <f>SUMIF('[1]06_Put_Away'!$F:$F,G15,'[1]06_Put_Away'!$I:$I)-SUMIF('[1]09_Goods_Issue'!$J:$J,G15,'[1]09_Goods_Issue'!$P:$P)</f>
        <v>0</v>
      </c>
      <c r="O15" s="11">
        <v>150</v>
      </c>
      <c r="P15" s="16" t="str">
        <f>IF(tbl_PickingList11[[#This Row],[Quantity Requested (Ref)]]=0,"Not Picked",IF(tbl_PickingList11[[#This Row],[Quantity Picked]]&lt;tbl_PickingList11[[#This Row],[Quantity Requested (Ref)]],"Partially Picked","Fully Picked"))</f>
        <v>Fully Picked</v>
      </c>
      <c r="Q15" s="11" t="s">
        <v>240</v>
      </c>
      <c r="R15" s="6"/>
      <c r="S15" s="17" t="str">
        <f>tbl_PickingList11[[#This Row],[Pick Number]]&amp;"-"&amp;tbl_PickingList11[[#This Row],[Pick Line]]</f>
        <v>PL-2026-0010-10</v>
      </c>
    </row>
    <row r="18" spans="1:1" x14ac:dyDescent="0.25">
      <c r="A18" s="4" t="s">
        <v>67</v>
      </c>
    </row>
    <row r="19" spans="1:1" x14ac:dyDescent="0.25">
      <c r="A19" s="5"/>
    </row>
    <row r="20" spans="1:1" x14ac:dyDescent="0.25">
      <c r="A20" s="5"/>
    </row>
    <row r="21" spans="1:1" x14ac:dyDescent="0.25">
      <c r="A21" s="5"/>
    </row>
    <row r="22" spans="1:1" x14ac:dyDescent="0.25">
      <c r="A22" s="5"/>
    </row>
    <row r="23" spans="1:1" x14ac:dyDescent="0.25">
      <c r="A23" s="5"/>
    </row>
    <row r="24" spans="1:1" x14ac:dyDescent="0.25">
      <c r="A24" s="5"/>
    </row>
    <row r="25" spans="1:1" x14ac:dyDescent="0.25">
      <c r="A25" s="5"/>
    </row>
  </sheetData>
  <mergeCells count="1">
    <mergeCell ref="A1:S1"/>
  </mergeCells>
  <conditionalFormatting sqref="K4:K27">
    <cfRule type="expression" dxfId="11" priority="1">
      <formula>$K4="Urgent"</formula>
    </cfRule>
  </conditionalFormatting>
  <conditionalFormatting sqref="P4:P15">
    <cfRule type="expression" dxfId="10" priority="6">
      <formula>$P4="Fully Picked"</formula>
    </cfRule>
  </conditionalFormatting>
  <conditionalFormatting sqref="P4:Q15">
    <cfRule type="expression" dxfId="9" priority="5">
      <formula>$P4="Partially Picked"</formula>
    </cfRule>
    <cfRule type="expression" dxfId="8" priority="7">
      <formula>$P4="Not Picked"</formula>
    </cfRule>
  </conditionalFormatting>
  <conditionalFormatting sqref="Q16:Q27">
    <cfRule type="expression" dxfId="7" priority="2">
      <formula>$Q16="Partially Picked"</formula>
    </cfRule>
    <cfRule type="expression" dxfId="6" priority="3">
      <formula>$Q16="Fully Picked"</formula>
    </cfRule>
    <cfRule type="expression" dxfId="5" priority="4">
      <formula>$Q16="Not Picked"</formula>
    </cfRule>
  </conditionalFormatting>
  <dataValidations count="1">
    <dataValidation type="list" showInputMessage="1" showErrorMessage="1" sqref="Q4:Q15" xr:uid="{8AD08929-3863-471E-A187-8175D91F2E55}">
      <formula1>"Andi,Budi,Rizky,Dimas"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8"/>
  <sheetViews>
    <sheetView showGridLines="0" zoomScaleNormal="100" workbookViewId="0">
      <pane ySplit="1" topLeftCell="A2" activePane="bottomLeft" state="frozen"/>
      <selection pane="bottomLeft" activeCell="A17" sqref="A17"/>
    </sheetView>
  </sheetViews>
  <sheetFormatPr defaultColWidth="8.7109375" defaultRowHeight="15" x14ac:dyDescent="0.25"/>
  <cols>
    <col min="1" max="1" width="16.85546875" customWidth="1"/>
    <col min="2" max="2" width="7.5703125" customWidth="1"/>
    <col min="3" max="3" width="12.28515625" bestFit="1" customWidth="1"/>
    <col min="4" max="4" width="12.7109375" bestFit="1" customWidth="1"/>
    <col min="8" max="8" width="16.7109375" bestFit="1" customWidth="1"/>
    <col min="9" max="9" width="13" bestFit="1" customWidth="1"/>
    <col min="10" max="10" width="29.7109375" bestFit="1" customWidth="1"/>
    <col min="12" max="12" width="18.28515625" bestFit="1" customWidth="1"/>
    <col min="13" max="13" width="21" bestFit="1" customWidth="1"/>
    <col min="14" max="14" width="13.7109375" customWidth="1"/>
    <col min="16" max="16" width="13.7109375" bestFit="1" customWidth="1"/>
    <col min="17" max="17" width="11.140625" bestFit="1" customWidth="1"/>
    <col min="18" max="18" width="11.28515625" bestFit="1" customWidth="1"/>
    <col min="19" max="19" width="12.85546875" bestFit="1" customWidth="1"/>
    <col min="20" max="20" width="46" bestFit="1" customWidth="1"/>
    <col min="21" max="21" width="16.140625" bestFit="1" customWidth="1"/>
  </cols>
  <sheetData>
    <row r="1" spans="1:22" ht="27" customHeight="1" x14ac:dyDescent="0.25">
      <c r="A1" s="81" t="s">
        <v>397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</row>
    <row r="3" spans="1:22" ht="33" customHeight="1" x14ac:dyDescent="0.25">
      <c r="A3" s="1" t="s">
        <v>398</v>
      </c>
      <c r="B3" s="1" t="s">
        <v>399</v>
      </c>
      <c r="C3" s="1" t="s">
        <v>400</v>
      </c>
      <c r="D3" s="1" t="s">
        <v>368</v>
      </c>
      <c r="E3" s="1" t="s">
        <v>369</v>
      </c>
      <c r="F3" s="1" t="s">
        <v>319</v>
      </c>
      <c r="G3" s="1" t="s">
        <v>320</v>
      </c>
      <c r="H3" s="1" t="s">
        <v>379</v>
      </c>
      <c r="I3" s="1" t="s">
        <v>1</v>
      </c>
      <c r="J3" s="1" t="s">
        <v>2</v>
      </c>
      <c r="K3" s="1" t="s">
        <v>4</v>
      </c>
      <c r="L3" s="1" t="s">
        <v>401</v>
      </c>
      <c r="M3" s="1" t="s">
        <v>371</v>
      </c>
      <c r="N3" s="1" t="s">
        <v>402</v>
      </c>
      <c r="O3" s="1" t="s">
        <v>403</v>
      </c>
      <c r="P3" s="1" t="s">
        <v>404</v>
      </c>
      <c r="Q3" s="1" t="s">
        <v>405</v>
      </c>
      <c r="R3" s="1" t="s">
        <v>406</v>
      </c>
      <c r="S3" s="1" t="s">
        <v>236</v>
      </c>
      <c r="T3" s="1" t="s">
        <v>115</v>
      </c>
      <c r="U3" s="1" t="s">
        <v>407</v>
      </c>
    </row>
    <row r="4" spans="1:22" x14ac:dyDescent="0.25">
      <c r="A4" s="6" t="s">
        <v>408</v>
      </c>
      <c r="B4" s="7">
        <v>10</v>
      </c>
      <c r="C4" s="8">
        <v>46247</v>
      </c>
      <c r="D4" s="6" t="s">
        <v>380</v>
      </c>
      <c r="E4" s="7">
        <v>10</v>
      </c>
      <c r="F4" s="8" t="str">
        <f>_xlfn.XLOOKUP(tbl_GoodsIssue[[#This Row],[Pick Line Key (Helper)]],[1]!tbl_PickingList[Pick Line Key (Helper)],[1]!tbl_PickingList[Request Number])</f>
        <v>MR-2026-0001</v>
      </c>
      <c r="G4" s="7">
        <f>_xlfn.XLOOKUP(tbl_GoodsIssue[[#This Row],[Pick Line Key (Helper)]],[1]!tbl_PickingList[Pick Line Key (Helper)],[1]!tbl_PickingList[Request Line])</f>
        <v>10</v>
      </c>
      <c r="H4" s="17" t="str">
        <f>D4&amp;"-"&amp;E4</f>
        <v>PL-2026-0001-10</v>
      </c>
      <c r="I4" s="9" t="str">
        <f>_xlfn.XLOOKUP(tbl_GoodsIssue[[#This Row],[Pick Line Key (Helper)]],[1]!tbl_PickingList[Pick Line Key (Helper)],[1]!tbl_PickingList[Material Code])</f>
        <v>MAT-00001</v>
      </c>
      <c r="J4" s="9" t="str">
        <f>_xlfn.XLOOKUP(tbl_GoodsIssue[[#This Row],[Material Code]],[1]!tbl_MasterMaterial[Material Code],[1]!tbl_MasterMaterial[Material Description])</f>
        <v>Hydraulic Cylinder Seal Kit 80mm</v>
      </c>
      <c r="K4" s="10" t="str">
        <f>_xlfn.XLOOKUP(tbl_GoodsIssue[[#This Row],[Material Code]],[1]!tbl_MasterMaterial[Material Code],[1]!tbl_MasterMaterial[Base UoM])</f>
        <v>PCS</v>
      </c>
      <c r="L4" s="75" t="str">
        <f>_xlfn.XLOOKUP(tbl_GoodsIssue[[#This Row],[Pick Line Key (Helper)]],[1]!tbl_PickingList[Pick Line Key (Helper)],[1]!tbl_PickingList[Pick Location (Ref)])</f>
        <v>DaDari Stock Card</v>
      </c>
      <c r="M4" s="9" t="str">
        <f>_xlfn.XLOOKUP(tbl_GoodsIssue[[#This Row],[Pick Line Key (Helper)]],[1]!tbl_PickingList[Pick Line Key (Helper)],[1]!tbl_PickingList[Requesting Department (Ref)])</f>
        <v>Production</v>
      </c>
      <c r="N4" s="12">
        <f>_xlfn.XLOOKUP(tbl_GoodsIssue[[#This Row],[Pick Line Key (Helper)]],[1]!tbl_PickingList[Pick Line Key (Helper)],[1]!tbl_PickingList[Quantity Picked])</f>
        <v>4</v>
      </c>
      <c r="O4" s="11">
        <v>4</v>
      </c>
      <c r="P4" s="19">
        <f>tbl_GoodsIssue[[#This Row],[Quantity Issued]]-tbl_GoodsIssue[[#This Row],[Quantity Picked (Ref)]]</f>
        <v>0</v>
      </c>
      <c r="Q4" s="66" t="str">
        <f>IF(tbl_GoodsIssue[[#This Row],[Quantity Issued]]&lt;tbl_GoodsIssue[[#This Row],[Quantity Picked (Ref)]],"Partial","Completed")</f>
        <v>Completed</v>
      </c>
      <c r="R4" s="7" t="s">
        <v>240</v>
      </c>
      <c r="S4" s="7" t="s">
        <v>335</v>
      </c>
      <c r="T4" s="6"/>
      <c r="U4" s="17" t="str">
        <f>tbl_GoodsIssue[[#This Row],[GI Number]]&amp;"-"&amp;tbl_GoodsIssue[[#This Row],[GI Line]]</f>
        <v>GI-2026-0001-10</v>
      </c>
    </row>
    <row r="5" spans="1:22" x14ac:dyDescent="0.25">
      <c r="A5" s="6" t="s">
        <v>408</v>
      </c>
      <c r="B5" s="7">
        <v>20</v>
      </c>
      <c r="C5" s="8">
        <v>46247</v>
      </c>
      <c r="D5" s="6" t="s">
        <v>380</v>
      </c>
      <c r="E5" s="7">
        <v>20</v>
      </c>
      <c r="F5" s="8" t="str">
        <f>_xlfn.XLOOKUP(tbl_GoodsIssue[[#This Row],[Pick Line Key (Helper)]],[1]!tbl_PickingList[Pick Line Key (Helper)],[1]!tbl_PickingList[Request Number])</f>
        <v>MR-2026-0001</v>
      </c>
      <c r="G5" s="7">
        <f>_xlfn.XLOOKUP(tbl_GoodsIssue[[#This Row],[Pick Line Key (Helper)]],[1]!tbl_PickingList[Pick Line Key (Helper)],[1]!tbl_PickingList[Request Line])</f>
        <v>20</v>
      </c>
      <c r="H5" s="17" t="str">
        <f>D5&amp;"-"&amp;E5</f>
        <v>PL-2026-0001-20</v>
      </c>
      <c r="I5" s="9" t="str">
        <f>_xlfn.XLOOKUP(tbl_GoodsIssue[[#This Row],[Pick Line Key (Helper)]],[1]!tbl_PickingList[Pick Line Key (Helper)],[1]!tbl_PickingList[Material Code])</f>
        <v>MAT-00008</v>
      </c>
      <c r="J5" s="9" t="str">
        <f>_xlfn.XLOOKUP(tbl_GoodsIssue[[#This Row],[Material Code]],[1]!tbl_MasterMaterial[Material Code],[1]!tbl_MasterMaterial[Material Description])</f>
        <v>Hydraulic Hose 1/2in x 3m</v>
      </c>
      <c r="K5" s="10" t="str">
        <f>_xlfn.XLOOKUP(tbl_GoodsIssue[[#This Row],[Material Code]],[1]!tbl_MasterMaterial[Material Code],[1]!tbl_MasterMaterial[Base UoM])</f>
        <v>PCS</v>
      </c>
      <c r="L5" s="75" t="str">
        <f>_xlfn.XLOOKUP(tbl_GoodsIssue[[#This Row],[Pick Line Key (Helper)]],[1]!tbl_PickingList[Pick Line Key (Helper)],[1]!tbl_PickingList[Pick Location (Ref)])</f>
        <v>A-01-02-01</v>
      </c>
      <c r="M5" s="9" t="str">
        <f>_xlfn.XLOOKUP(tbl_GoodsIssue[[#This Row],[Pick Line Key (Helper)]],[1]!tbl_PickingList[Pick Line Key (Helper)],[1]!tbl_PickingList[Requesting Department (Ref)])</f>
        <v>Production</v>
      </c>
      <c r="N5" s="12">
        <f>_xlfn.XLOOKUP(tbl_GoodsIssue[[#This Row],[Pick Line Key (Helper)]],[1]!tbl_PickingList[Pick Line Key (Helper)],[1]!tbl_PickingList[Quantity Picked])</f>
        <v>20</v>
      </c>
      <c r="O5" s="11">
        <v>20</v>
      </c>
      <c r="P5" s="19">
        <f>tbl_GoodsIssue[[#This Row],[Quantity Issued]]-tbl_GoodsIssue[[#This Row],[Quantity Picked (Ref)]]</f>
        <v>0</v>
      </c>
      <c r="Q5" s="66" t="str">
        <f>IF(tbl_GoodsIssue[[#This Row],[Quantity Issued]]&lt;tbl_GoodsIssue[[#This Row],[Quantity Picked (Ref)]],"Partial","Completed")</f>
        <v>Completed</v>
      </c>
      <c r="R5" s="7" t="s">
        <v>240</v>
      </c>
      <c r="S5" s="7" t="s">
        <v>335</v>
      </c>
      <c r="T5" s="6"/>
      <c r="U5" s="17" t="str">
        <f>tbl_GoodsIssue[[#This Row],[GI Number]]&amp;"-"&amp;tbl_GoodsIssue[[#This Row],[GI Line]]</f>
        <v>GI-2026-0001-20</v>
      </c>
    </row>
    <row r="6" spans="1:22" x14ac:dyDescent="0.25">
      <c r="A6" s="6" t="s">
        <v>409</v>
      </c>
      <c r="B6" s="7">
        <v>10</v>
      </c>
      <c r="C6" s="8">
        <v>46251</v>
      </c>
      <c r="D6" s="6" t="s">
        <v>383</v>
      </c>
      <c r="E6" s="7">
        <v>10</v>
      </c>
      <c r="F6" s="76" t="str">
        <f>_xlfn.XLOOKUP(tbl_GoodsIssue[[#This Row],[Pick Line Key (Helper)]],[1]!tbl_PickingList[Pick Line Key (Helper)],[1]!tbl_PickingList[Request Number])</f>
        <v>MR-2026-0002</v>
      </c>
      <c r="G6" s="77">
        <f>_xlfn.XLOOKUP(tbl_GoodsIssue[[#This Row],[Pick Line Key (Helper)]],[1]!tbl_PickingList[Pick Line Key (Helper)],[1]!tbl_PickingList[Request Line])</f>
        <v>10</v>
      </c>
      <c r="H6" s="78" t="str">
        <f t="shared" ref="H6:H12" si="0">D6&amp;"-"&amp;E6</f>
        <v>PL-2026-0002-10</v>
      </c>
      <c r="I6" s="9" t="str">
        <f>_xlfn.XLOOKUP(tbl_GoodsIssue[[#This Row],[Pick Line Key (Helper)]],[1]!tbl_PickingList[Pick Line Key (Helper)],[1]!tbl_PickingList[Material Code])</f>
        <v>MAT-00003</v>
      </c>
      <c r="J6" s="9" t="str">
        <f>_xlfn.XLOOKUP(tbl_GoodsIssue[[#This Row],[Material Code]],[1]!tbl_MasterMaterial[Material Code],[1]!tbl_MasterMaterial[Material Description])</f>
        <v>Engine Oil Filter (Cat 320D)</v>
      </c>
      <c r="K6" s="10" t="str">
        <f>_xlfn.XLOOKUP(tbl_GoodsIssue[[#This Row],[Material Code]],[1]!tbl_MasterMaterial[Material Code],[1]!tbl_MasterMaterial[Base UoM])</f>
        <v>PCS</v>
      </c>
      <c r="L6" s="75" t="str">
        <f>_xlfn.XLOOKUP(tbl_GoodsIssue[[#This Row],[Pick Line Key (Helper)]],[1]!tbl_PickingList[Pick Line Key (Helper)],[1]!tbl_PickingList[Pick Location (Ref)])</f>
        <v>A-02-01-01</v>
      </c>
      <c r="M6" s="9" t="str">
        <f>_xlfn.XLOOKUP(tbl_GoodsIssue[[#This Row],[Pick Line Key (Helper)]],[1]!tbl_PickingList[Pick Line Key (Helper)],[1]!tbl_PickingList[Requesting Department (Ref)])</f>
        <v>Maintenance</v>
      </c>
      <c r="N6" s="12">
        <f>_xlfn.XLOOKUP(tbl_GoodsIssue[[#This Row],[Pick Line Key (Helper)]],[1]!tbl_PickingList[Pick Line Key (Helper)],[1]!tbl_PickingList[Quantity Picked])</f>
        <v>100</v>
      </c>
      <c r="O6" s="11">
        <v>100</v>
      </c>
      <c r="P6" s="19">
        <f>tbl_GoodsIssue[[#This Row],[Quantity Issued]]-tbl_GoodsIssue[[#This Row],[Quantity Picked (Ref)]]</f>
        <v>0</v>
      </c>
      <c r="Q6" s="79" t="str">
        <f>IF(tbl_GoodsIssue[[#This Row],[Quantity Issued]]&lt;tbl_GoodsIssue[[#This Row],[Quantity Picked (Ref)]],"Partial","Completed")</f>
        <v>Completed</v>
      </c>
      <c r="R6" s="7" t="s">
        <v>384</v>
      </c>
      <c r="S6" s="7" t="s">
        <v>341</v>
      </c>
      <c r="T6" s="6" t="s">
        <v>410</v>
      </c>
      <c r="U6" s="17" t="str">
        <f>tbl_GoodsIssue[[#This Row],[GI Number]]&amp;"-"&amp;tbl_GoodsIssue[[#This Row],[GI Line]]</f>
        <v>GI-2026-0002-10</v>
      </c>
    </row>
    <row r="7" spans="1:22" x14ac:dyDescent="0.25">
      <c r="A7" s="6" t="s">
        <v>411</v>
      </c>
      <c r="B7" s="7">
        <v>10</v>
      </c>
      <c r="C7" s="8">
        <v>46255</v>
      </c>
      <c r="D7" s="6" t="s">
        <v>386</v>
      </c>
      <c r="E7" s="7">
        <v>10</v>
      </c>
      <c r="F7" s="76" t="str">
        <f>_xlfn.XLOOKUP(tbl_GoodsIssue[[#This Row],[Pick Line Key (Helper)]],[1]!tbl_PickingList[Pick Line Key (Helper)],[1]!tbl_PickingList[Request Number])</f>
        <v>MR-2026-0003</v>
      </c>
      <c r="G7" s="77">
        <f>_xlfn.XLOOKUP(tbl_GoodsIssue[[#This Row],[Pick Line Key (Helper)]],[1]!tbl_PickingList[Pick Line Key (Helper)],[1]!tbl_PickingList[Request Line])</f>
        <v>10</v>
      </c>
      <c r="H7" s="78" t="str">
        <f t="shared" si="0"/>
        <v>PL-2026-0003-10</v>
      </c>
      <c r="I7" s="9" t="str">
        <f>_xlfn.XLOOKUP(tbl_GoodsIssue[[#This Row],[Pick Line Key (Helper)]],[1]!tbl_PickingList[Pick Line Key (Helper)],[1]!tbl_PickingList[Material Code])</f>
        <v>MAT-00004</v>
      </c>
      <c r="J7" s="9" t="str">
        <f>_xlfn.XLOOKUP(tbl_GoodsIssue[[#This Row],[Material Code]],[1]!tbl_MasterMaterial[Material Code],[1]!tbl_MasterMaterial[Material Description])</f>
        <v>Hex Bolt M12x50 Grade 8.8</v>
      </c>
      <c r="K7" s="10" t="str">
        <f>_xlfn.XLOOKUP(tbl_GoodsIssue[[#This Row],[Material Code]],[1]!tbl_MasterMaterial[Material Code],[1]!tbl_MasterMaterial[Base UoM])</f>
        <v>PCS</v>
      </c>
      <c r="L7" s="75" t="str">
        <f>_xlfn.XLOOKUP(tbl_GoodsIssue[[#This Row],[Pick Line Key (Helper)]],[1]!tbl_PickingList[Pick Line Key (Helper)],[1]!tbl_PickingList[Pick Location (Ref)])</f>
        <v>D-01-01-01</v>
      </c>
      <c r="M7" s="9" t="str">
        <f>_xlfn.XLOOKUP(tbl_GoodsIssue[[#This Row],[Pick Line Key (Helper)]],[1]!tbl_PickingList[Pick Line Key (Helper)],[1]!tbl_PickingList[Requesting Department (Ref)])</f>
        <v>Production</v>
      </c>
      <c r="N7" s="12">
        <f>_xlfn.XLOOKUP(tbl_GoodsIssue[[#This Row],[Pick Line Key (Helper)]],[1]!tbl_PickingList[Pick Line Key (Helper)],[1]!tbl_PickingList[Quantity Picked])</f>
        <v>3000</v>
      </c>
      <c r="O7" s="11">
        <v>3000</v>
      </c>
      <c r="P7" s="19">
        <f>tbl_GoodsIssue[[#This Row],[Quantity Issued]]-tbl_GoodsIssue[[#This Row],[Quantity Picked (Ref)]]</f>
        <v>0</v>
      </c>
      <c r="Q7" s="79" t="str">
        <f>IF(tbl_GoodsIssue[[#This Row],[Quantity Issued]]&lt;tbl_GoodsIssue[[#This Row],[Quantity Picked (Ref)]],"Partial","Completed")</f>
        <v>Completed</v>
      </c>
      <c r="R7" s="7" t="s">
        <v>239</v>
      </c>
      <c r="S7" s="7" t="s">
        <v>344</v>
      </c>
      <c r="T7" s="6"/>
      <c r="U7" s="17" t="str">
        <f>tbl_GoodsIssue[[#This Row],[GI Number]]&amp;"-"&amp;tbl_GoodsIssue[[#This Row],[GI Line]]</f>
        <v>GI-2026-0003-10</v>
      </c>
    </row>
    <row r="8" spans="1:22" x14ac:dyDescent="0.25">
      <c r="A8" s="6" t="s">
        <v>412</v>
      </c>
      <c r="B8" s="7">
        <v>10</v>
      </c>
      <c r="C8" s="8">
        <v>46257</v>
      </c>
      <c r="D8" s="6" t="s">
        <v>387</v>
      </c>
      <c r="E8" s="7">
        <v>10</v>
      </c>
      <c r="F8" s="76" t="str">
        <f>_xlfn.XLOOKUP(tbl_GoodsIssue[[#This Row],[Pick Line Key (Helper)]],[1]!tbl_PickingList[Pick Line Key (Helper)],[1]!tbl_PickingList[Request Number])</f>
        <v>MR-2026-0005</v>
      </c>
      <c r="G8" s="77">
        <f>_xlfn.XLOOKUP(tbl_GoodsIssue[[#This Row],[Pick Line Key (Helper)]],[1]!tbl_PickingList[Pick Line Key (Helper)],[1]!tbl_PickingList[Request Line])</f>
        <v>10</v>
      </c>
      <c r="H8" s="78" t="str">
        <f t="shared" si="0"/>
        <v>PL-2026-0004-10</v>
      </c>
      <c r="I8" s="9" t="str">
        <f>_xlfn.XLOOKUP(tbl_GoodsIssue[[#This Row],[Pick Line Key (Helper)]],[1]!tbl_PickingList[Pick Line Key (Helper)],[1]!tbl_PickingList[Material Code])</f>
        <v>MAT-00010</v>
      </c>
      <c r="J8" s="9" t="str">
        <f>_xlfn.XLOOKUP(tbl_GoodsIssue[[#This Row],[Material Code]],[1]!tbl_MasterMaterial[Material Code],[1]!tbl_MasterMaterial[Material Description])</f>
        <v>Welding Electrode E7018 3.2mm</v>
      </c>
      <c r="K8" s="10" t="str">
        <f>_xlfn.XLOOKUP(tbl_GoodsIssue[[#This Row],[Material Code]],[1]!tbl_MasterMaterial[Material Code],[1]!tbl_MasterMaterial[Base UoM])</f>
        <v>KG</v>
      </c>
      <c r="L8" s="75" t="str">
        <f>_xlfn.XLOOKUP(tbl_GoodsIssue[[#This Row],[Pick Line Key (Helper)]],[1]!tbl_PickingList[Pick Line Key (Helper)],[1]!tbl_PickingList[Pick Location (Ref)])</f>
        <v>D-01-01-02</v>
      </c>
      <c r="M8" s="9" t="str">
        <f>_xlfn.XLOOKUP(tbl_GoodsIssue[[#This Row],[Pick Line Key (Helper)]],[1]!tbl_PickingList[Pick Line Key (Helper)],[1]!tbl_PickingList[Requesting Department (Ref)])</f>
        <v>Production</v>
      </c>
      <c r="N8" s="12">
        <f>_xlfn.XLOOKUP(tbl_GoodsIssue[[#This Row],[Pick Line Key (Helper)]],[1]!tbl_PickingList[Pick Line Key (Helper)],[1]!tbl_PickingList[Quantity Picked])</f>
        <v>6</v>
      </c>
      <c r="O8" s="11">
        <v>6</v>
      </c>
      <c r="P8" s="19">
        <f>tbl_GoodsIssue[[#This Row],[Quantity Issued]]-tbl_GoodsIssue[[#This Row],[Quantity Picked (Ref)]]</f>
        <v>0</v>
      </c>
      <c r="Q8" s="79" t="str">
        <f>IF(tbl_GoodsIssue[[#This Row],[Quantity Issued]]&lt;tbl_GoodsIssue[[#This Row],[Quantity Picked (Ref)]],"Partial","Completed")</f>
        <v>Completed</v>
      </c>
      <c r="R8" s="7" t="s">
        <v>242</v>
      </c>
      <c r="S8" s="7" t="s">
        <v>344</v>
      </c>
      <c r="T8" s="6"/>
      <c r="U8" s="17" t="str">
        <f>tbl_GoodsIssue[[#This Row],[GI Number]]&amp;"-"&amp;tbl_GoodsIssue[[#This Row],[GI Line]]</f>
        <v>GI-2026-0004-10</v>
      </c>
    </row>
    <row r="9" spans="1:22" x14ac:dyDescent="0.25">
      <c r="A9" s="6" t="s">
        <v>412</v>
      </c>
      <c r="B9" s="7">
        <v>20</v>
      </c>
      <c r="C9" s="8">
        <v>46257</v>
      </c>
      <c r="D9" s="6" t="s">
        <v>387</v>
      </c>
      <c r="E9" s="7">
        <v>20</v>
      </c>
      <c r="F9" s="76" t="str">
        <f>_xlfn.XLOOKUP(tbl_GoodsIssue[[#This Row],[Pick Line Key (Helper)]],[1]!tbl_PickingList[Pick Line Key (Helper)],[1]!tbl_PickingList[Request Number])</f>
        <v>MR-2026-0005</v>
      </c>
      <c r="G9" s="77">
        <f>_xlfn.XLOOKUP(tbl_GoodsIssue[[#This Row],[Pick Line Key (Helper)]],[1]!tbl_PickingList[Pick Line Key (Helper)],[1]!tbl_PickingList[Request Line])</f>
        <v>20</v>
      </c>
      <c r="H9" s="78" t="str">
        <f t="shared" si="0"/>
        <v>PL-2026-0004-20</v>
      </c>
      <c r="I9" s="9" t="str">
        <f>_xlfn.XLOOKUP(tbl_GoodsIssue[[#This Row],[Pick Line Key (Helper)]],[1]!tbl_PickingList[Pick Line Key (Helper)],[1]!tbl_PickingList[Material Code])</f>
        <v>MAT-00014</v>
      </c>
      <c r="J9" s="9" t="str">
        <f>_xlfn.XLOOKUP(tbl_GoodsIssue[[#This Row],[Material Code]],[1]!tbl_MasterMaterial[Material Code],[1]!tbl_MasterMaterial[Material Description])</f>
        <v>Flat Washer M12 Zinc Plated</v>
      </c>
      <c r="K9" s="10" t="str">
        <f>_xlfn.XLOOKUP(tbl_GoodsIssue[[#This Row],[Material Code]],[1]!tbl_MasterMaterial[Material Code],[1]!tbl_MasterMaterial[Base UoM])</f>
        <v>PCS</v>
      </c>
      <c r="L9" s="75" t="str">
        <f>_xlfn.XLOOKUP(tbl_GoodsIssue[[#This Row],[Pick Line Key (Helper)]],[1]!tbl_PickingList[Pick Line Key (Helper)],[1]!tbl_PickingList[Pick Location (Ref)])</f>
        <v>D-01-01-02</v>
      </c>
      <c r="M9" s="9" t="str">
        <f>_xlfn.XLOOKUP(tbl_GoodsIssue[[#This Row],[Pick Line Key (Helper)]],[1]!tbl_PickingList[Pick Line Key (Helper)],[1]!tbl_PickingList[Requesting Department (Ref)])</f>
        <v>Assembly</v>
      </c>
      <c r="N9" s="12">
        <f>_xlfn.XLOOKUP(tbl_GoodsIssue[[#This Row],[Pick Line Key (Helper)]],[1]!tbl_PickingList[Pick Line Key (Helper)],[1]!tbl_PickingList[Quantity Picked])</f>
        <v>9000</v>
      </c>
      <c r="O9" s="11">
        <v>8995</v>
      </c>
      <c r="P9" s="19">
        <f>tbl_GoodsIssue[[#This Row],[Quantity Issued]]-tbl_GoodsIssue[[#This Row],[Quantity Picked (Ref)]]</f>
        <v>-5</v>
      </c>
      <c r="Q9" s="79" t="str">
        <f>IF(tbl_GoodsIssue[[#This Row],[Quantity Issued]]&lt;tbl_GoodsIssue[[#This Row],[Quantity Picked (Ref)]],"Partial","Completed")</f>
        <v>Partial</v>
      </c>
      <c r="R9" s="7" t="s">
        <v>242</v>
      </c>
      <c r="S9" s="7" t="s">
        <v>347</v>
      </c>
      <c r="T9" s="6" t="s">
        <v>413</v>
      </c>
      <c r="U9" s="17" t="str">
        <f>tbl_GoodsIssue[[#This Row],[GI Number]]&amp;"-"&amp;tbl_GoodsIssue[[#This Row],[GI Line]]</f>
        <v>GI-2026-0004-20</v>
      </c>
    </row>
    <row r="10" spans="1:22" x14ac:dyDescent="0.25">
      <c r="A10" s="6" t="s">
        <v>414</v>
      </c>
      <c r="B10" s="7">
        <v>10</v>
      </c>
      <c r="C10" s="8">
        <v>46260</v>
      </c>
      <c r="D10" s="6" t="s">
        <v>389</v>
      </c>
      <c r="E10" s="7">
        <v>10</v>
      </c>
      <c r="F10" s="76" t="str">
        <f>_xlfn.XLOOKUP(tbl_GoodsIssue[[#This Row],[Pick Line Key (Helper)]],[1]!tbl_PickingList[Pick Line Key (Helper)],[1]!tbl_PickingList[Request Number])</f>
        <v>MR-2026-0006</v>
      </c>
      <c r="G10" s="77">
        <f>_xlfn.XLOOKUP(tbl_GoodsIssue[[#This Row],[Pick Line Key (Helper)]],[1]!tbl_PickingList[Pick Line Key (Helper)],[1]!tbl_PickingList[Request Line])</f>
        <v>10</v>
      </c>
      <c r="H10" s="78" t="str">
        <f t="shared" si="0"/>
        <v>PL-2026-0005-10</v>
      </c>
      <c r="I10" s="9" t="str">
        <f>_xlfn.XLOOKUP(tbl_GoodsIssue[[#This Row],[Pick Line Key (Helper)]],[1]!tbl_PickingList[Pick Line Key (Helper)],[1]!tbl_PickingList[Material Code])</f>
        <v>MAT-00002</v>
      </c>
      <c r="J10" s="9" t="str">
        <f>_xlfn.XLOOKUP(tbl_GoodsIssue[[#This Row],[Material Code]],[1]!tbl_MasterMaterial[Material Code],[1]!tbl_MasterMaterial[Material Description])</f>
        <v>Steel Plate 10mm x 2m x 1m</v>
      </c>
      <c r="K10" s="10" t="str">
        <f>_xlfn.XLOOKUP(tbl_GoodsIssue[[#This Row],[Material Code]],[1]!tbl_MasterMaterial[Material Code],[1]!tbl_MasterMaterial[Base UoM])</f>
        <v>PCS</v>
      </c>
      <c r="L10" s="75" t="str">
        <f>_xlfn.XLOOKUP(tbl_GoodsIssue[[#This Row],[Pick Line Key (Helper)]],[1]!tbl_PickingList[Pick Line Key (Helper)],[1]!tbl_PickingList[Pick Location (Ref)])</f>
        <v>C-01-01</v>
      </c>
      <c r="M10" s="9" t="str">
        <f>_xlfn.XLOOKUP(tbl_GoodsIssue[[#This Row],[Pick Line Key (Helper)]],[1]!tbl_PickingList[Pick Line Key (Helper)],[1]!tbl_PickingList[Requesting Department (Ref)])</f>
        <v>Maintenance</v>
      </c>
      <c r="N10" s="12">
        <f>_xlfn.XLOOKUP(tbl_GoodsIssue[[#This Row],[Pick Line Key (Helper)]],[1]!tbl_PickingList[Pick Line Key (Helper)],[1]!tbl_PickingList[Quantity Picked])</f>
        <v>15</v>
      </c>
      <c r="O10" s="11">
        <v>15</v>
      </c>
      <c r="P10" s="19">
        <f>tbl_GoodsIssue[[#This Row],[Quantity Issued]]-tbl_GoodsIssue[[#This Row],[Quantity Picked (Ref)]]</f>
        <v>0</v>
      </c>
      <c r="Q10" s="79" t="str">
        <f>IF(tbl_GoodsIssue[[#This Row],[Quantity Issued]]&lt;tbl_GoodsIssue[[#This Row],[Quantity Picked (Ref)]],"Partial","Completed")</f>
        <v>Completed</v>
      </c>
      <c r="R10" s="7" t="s">
        <v>240</v>
      </c>
      <c r="S10" s="7" t="s">
        <v>341</v>
      </c>
      <c r="T10" s="6"/>
      <c r="U10" s="17" t="str">
        <f>tbl_GoodsIssue[[#This Row],[GI Number]]&amp;"-"&amp;tbl_GoodsIssue[[#This Row],[GI Line]]</f>
        <v>GI-2026-0005-10</v>
      </c>
    </row>
    <row r="11" spans="1:22" x14ac:dyDescent="0.25">
      <c r="A11" s="6" t="s">
        <v>415</v>
      </c>
      <c r="B11" s="7">
        <v>10</v>
      </c>
      <c r="C11" s="8">
        <v>46267</v>
      </c>
      <c r="D11" s="6" t="s">
        <v>390</v>
      </c>
      <c r="E11" s="7">
        <v>10</v>
      </c>
      <c r="F11" s="76" t="str">
        <f>_xlfn.XLOOKUP(tbl_GoodsIssue[[#This Row],[Pick Line Key (Helper)]],[1]!tbl_PickingList[Pick Line Key (Helper)],[1]!tbl_PickingList[Request Number])</f>
        <v>MR-2026-0008</v>
      </c>
      <c r="G11" s="77">
        <f>_xlfn.XLOOKUP(tbl_GoodsIssue[[#This Row],[Pick Line Key (Helper)]],[1]!tbl_PickingList[Pick Line Key (Helper)],[1]!tbl_PickingList[Request Line])</f>
        <v>10</v>
      </c>
      <c r="H11" s="78" t="str">
        <f t="shared" si="0"/>
        <v>PL-2026-0006-10</v>
      </c>
      <c r="I11" s="9" t="str">
        <f>_xlfn.XLOOKUP(tbl_GoodsIssue[[#This Row],[Pick Line Key (Helper)]],[1]!tbl_PickingList[Pick Line Key (Helper)],[1]!tbl_PickingList[Material Code])</f>
        <v>MAT-00007</v>
      </c>
      <c r="J11" s="9" t="str">
        <f>_xlfn.XLOOKUP(tbl_GoodsIssue[[#This Row],[Material Code]],[1]!tbl_MasterMaterial[Material Code],[1]!tbl_MasterMaterial[Material Description])</f>
        <v>Air Filter Element - Primary</v>
      </c>
      <c r="K11" s="10" t="str">
        <f>_xlfn.XLOOKUP(tbl_GoodsIssue[[#This Row],[Material Code]],[1]!tbl_MasterMaterial[Material Code],[1]!tbl_MasterMaterial[Base UoM])</f>
        <v>PCS</v>
      </c>
      <c r="L11" s="75" t="str">
        <f>_xlfn.XLOOKUP(tbl_GoodsIssue[[#This Row],[Pick Line Key (Helper)]],[1]!tbl_PickingList[Pick Line Key (Helper)],[1]!tbl_PickingList[Pick Location (Ref)])</f>
        <v>A-02-01-02</v>
      </c>
      <c r="M11" s="9" t="str">
        <f>_xlfn.XLOOKUP(tbl_GoodsIssue[[#This Row],[Pick Line Key (Helper)]],[1]!tbl_PickingList[Pick Line Key (Helper)],[1]!tbl_PickingList[Requesting Department (Ref)])</f>
        <v>QC</v>
      </c>
      <c r="N11" s="12">
        <f>_xlfn.XLOOKUP(tbl_GoodsIssue[[#This Row],[Pick Line Key (Helper)]],[1]!tbl_PickingList[Pick Line Key (Helper)],[1]!tbl_PickingList[Quantity Picked])</f>
        <v>24</v>
      </c>
      <c r="O11" s="11">
        <v>24</v>
      </c>
      <c r="P11" s="19">
        <f>tbl_GoodsIssue[[#This Row],[Quantity Issued]]-tbl_GoodsIssue[[#This Row],[Quantity Picked (Ref)]]</f>
        <v>0</v>
      </c>
      <c r="Q11" s="79" t="str">
        <f>IF(tbl_GoodsIssue[[#This Row],[Quantity Issued]]&lt;tbl_GoodsIssue[[#This Row],[Quantity Picked (Ref)]],"Partial","Completed")</f>
        <v>Completed</v>
      </c>
      <c r="R11" s="7" t="s">
        <v>239</v>
      </c>
      <c r="S11" s="7" t="s">
        <v>359</v>
      </c>
      <c r="T11" s="6" t="s">
        <v>391</v>
      </c>
      <c r="U11" s="17" t="str">
        <f>tbl_GoodsIssue[[#This Row],[GI Number]]&amp;"-"&amp;tbl_GoodsIssue[[#This Row],[GI Line]]</f>
        <v>GI-2026-0006-10</v>
      </c>
    </row>
    <row r="12" spans="1:22" x14ac:dyDescent="0.25">
      <c r="A12" s="6" t="s">
        <v>416</v>
      </c>
      <c r="B12" s="7">
        <v>10</v>
      </c>
      <c r="C12" s="8">
        <v>46269</v>
      </c>
      <c r="D12" s="6" t="s">
        <v>392</v>
      </c>
      <c r="E12" s="7">
        <v>10</v>
      </c>
      <c r="F12" s="76" t="str">
        <f>_xlfn.XLOOKUP(tbl_GoodsIssue[[#This Row],[Pick Line Key (Helper)]],[1]!tbl_PickingList[Pick Line Key (Helper)],[1]!tbl_PickingList[Request Number])</f>
        <v>MR-2026-0009</v>
      </c>
      <c r="G12" s="77">
        <f>_xlfn.XLOOKUP(tbl_GoodsIssue[[#This Row],[Pick Line Key (Helper)]],[1]!tbl_PickingList[Pick Line Key (Helper)],[1]!tbl_PickingList[Request Line])</f>
        <v>10</v>
      </c>
      <c r="H12" s="78" t="str">
        <f t="shared" si="0"/>
        <v>PL-2026-0007-10</v>
      </c>
      <c r="I12" s="9" t="str">
        <f>_xlfn.XLOOKUP(tbl_GoodsIssue[[#This Row],[Pick Line Key (Helper)]],[1]!tbl_PickingList[Pick Line Key (Helper)],[1]!tbl_PickingList[Material Code])</f>
        <v>MAT-00006</v>
      </c>
      <c r="J12" s="9" t="str">
        <f>_xlfn.XLOOKUP(tbl_GoodsIssue[[#This Row],[Material Code]],[1]!tbl_MasterMaterial[Material Code],[1]!tbl_MasterMaterial[Material Description])</f>
        <v>Track Roller Assembly</v>
      </c>
      <c r="K12" s="10" t="str">
        <f>_xlfn.XLOOKUP(tbl_GoodsIssue[[#This Row],[Material Code]],[1]!tbl_MasterMaterial[Material Code],[1]!tbl_MasterMaterial[Base UoM])</f>
        <v>PCS</v>
      </c>
      <c r="L12" s="75" t="e">
        <f>_xlfn.XLOOKUP(tbl_GoodsIssue[[#This Row],[Pick Line Key (Helper)]],[1]!tbl_PickingList[Pick Line Key (Helper)],[1]!tbl_PickingList[Pick Location (Ref)])</f>
        <v>#N/A</v>
      </c>
      <c r="M12" s="9" t="str">
        <f>_xlfn.XLOOKUP(tbl_GoodsIssue[[#This Row],[Pick Line Key (Helper)]],[1]!tbl_PickingList[Pick Line Key (Helper)],[1]!tbl_PickingList[Requesting Department (Ref)])</f>
        <v>Production</v>
      </c>
      <c r="N12" s="12">
        <f>_xlfn.XLOOKUP(tbl_GoodsIssue[[#This Row],[Pick Line Key (Helper)]],[1]!tbl_PickingList[Pick Line Key (Helper)],[1]!tbl_PickingList[Quantity Picked])</f>
        <v>40</v>
      </c>
      <c r="O12" s="11">
        <v>40</v>
      </c>
      <c r="P12" s="19">
        <f>tbl_GoodsIssue[[#This Row],[Quantity Issued]]-tbl_GoodsIssue[[#This Row],[Quantity Picked (Ref)]]</f>
        <v>0</v>
      </c>
      <c r="Q12" s="79" t="str">
        <f>IF(tbl_GoodsIssue[[#This Row],[Quantity Issued]]&lt;tbl_GoodsIssue[[#This Row],[Quantity Picked (Ref)]],"Partial","Completed")</f>
        <v>Completed</v>
      </c>
      <c r="R12" s="7" t="s">
        <v>242</v>
      </c>
      <c r="S12" s="7" t="s">
        <v>344</v>
      </c>
      <c r="T12" s="6" t="s">
        <v>393</v>
      </c>
      <c r="U12" s="17" t="str">
        <f>tbl_GoodsIssue[[#This Row],[GI Number]]&amp;"-"&amp;tbl_GoodsIssue[[#This Row],[GI Line]]</f>
        <v>GI-2026-0007-10</v>
      </c>
    </row>
    <row r="13" spans="1:22" x14ac:dyDescent="0.25">
      <c r="A13" s="6" t="s">
        <v>417</v>
      </c>
      <c r="B13" s="7">
        <v>10</v>
      </c>
      <c r="C13" s="8">
        <v>46271</v>
      </c>
      <c r="D13" s="6" t="s">
        <v>394</v>
      </c>
      <c r="E13" s="7">
        <v>10</v>
      </c>
      <c r="F13" s="8" t="str">
        <f>_xlfn.XLOOKUP(tbl_GoodsIssue[[#This Row],[Pick Line Key (Helper)]],[1]!tbl_PickingList[Pick Line Key (Helper)],[1]!tbl_PickingList[Request Number])</f>
        <v>MR-2026-0010</v>
      </c>
      <c r="G13" s="7">
        <f>_xlfn.XLOOKUP(tbl_GoodsIssue[[#This Row],[Pick Line Key (Helper)]],[1]!tbl_PickingList[Pick Line Key (Helper)],[1]!tbl_PickingList[Request Line])</f>
        <v>20</v>
      </c>
      <c r="H13" s="17" t="str">
        <f>D13&amp;"-"&amp;E13</f>
        <v>PL-2026-0008-10</v>
      </c>
      <c r="I13" s="9" t="str">
        <f>_xlfn.XLOOKUP(tbl_GoodsIssue[[#This Row],[Pick Line Key (Helper)]],[1]!tbl_PickingList[Pick Line Key (Helper)],[1]!tbl_PickingList[Material Code])</f>
        <v>MAT-00012</v>
      </c>
      <c r="J13" s="9" t="str">
        <f>_xlfn.XLOOKUP(tbl_GoodsIssue[[#This Row],[Material Code]],[1]!tbl_MasterMaterial[Material Code],[1]!tbl_MasterMaterial[Material Description])</f>
        <v>Bucket Teeth (CAT style)</v>
      </c>
      <c r="K13" s="10" t="str">
        <f>_xlfn.XLOOKUP(tbl_GoodsIssue[[#This Row],[Material Code]],[1]!tbl_MasterMaterial[Material Code],[1]!tbl_MasterMaterial[Base UoM])</f>
        <v>PCS</v>
      </c>
      <c r="L13" s="75" t="e">
        <f>_xlfn.XLOOKUP(tbl_GoodsIssue[[#This Row],[Pick Line Key (Helper)]],[1]!tbl_PickingList[Pick Line Key (Helper)],[1]!tbl_PickingList[Pick Location (Ref)])</f>
        <v>#N/A</v>
      </c>
      <c r="M13" s="9" t="str">
        <f>_xlfn.XLOOKUP(tbl_GoodsIssue[[#This Row],[Pick Line Key (Helper)]],[1]!tbl_PickingList[Pick Line Key (Helper)],[1]!tbl_PickingList[Requesting Department (Ref)])</f>
        <v>Production</v>
      </c>
      <c r="N13" s="12">
        <f>_xlfn.XLOOKUP(tbl_GoodsIssue[[#This Row],[Pick Line Key (Helper)]],[1]!tbl_PickingList[Pick Line Key (Helper)],[1]!tbl_PickingList[Quantity Picked])</f>
        <v>36</v>
      </c>
      <c r="O13" s="11">
        <v>36</v>
      </c>
      <c r="P13" s="19">
        <f>tbl_GoodsIssue[[#This Row],[Quantity Issued]]-tbl_GoodsIssue[[#This Row],[Quantity Picked (Ref)]]</f>
        <v>0</v>
      </c>
      <c r="Q13" s="66" t="str">
        <f>IF(tbl_GoodsIssue[[#This Row],[Quantity Issued]]&lt;tbl_GoodsIssue[[#This Row],[Quantity Picked (Ref)]],"Partial","Completed")</f>
        <v>Completed</v>
      </c>
      <c r="R13" s="7" t="s">
        <v>242</v>
      </c>
      <c r="S13" s="7" t="s">
        <v>335</v>
      </c>
      <c r="T13" s="6"/>
      <c r="U13" s="17" t="str">
        <f>tbl_GoodsIssue[[#This Row],[GI Number]]&amp;"-"&amp;tbl_GoodsIssue[[#This Row],[GI Line]]</f>
        <v>GI-2026-0008-10</v>
      </c>
    </row>
    <row r="14" spans="1:22" x14ac:dyDescent="0.25">
      <c r="A14" s="6" t="s">
        <v>418</v>
      </c>
      <c r="B14" s="7">
        <v>10</v>
      </c>
      <c r="C14" s="8">
        <v>46274</v>
      </c>
      <c r="D14" s="6" t="s">
        <v>395</v>
      </c>
      <c r="E14" s="7">
        <v>10</v>
      </c>
      <c r="F14" s="8" t="str">
        <f>_xlfn.XLOOKUP(tbl_GoodsIssue[[#This Row],[Pick Line Key (Helper)]],[1]!tbl_PickingList[Pick Line Key (Helper)],[1]!tbl_PickingList[Request Number])</f>
        <v>MR-2026-0011</v>
      </c>
      <c r="G14" s="7">
        <f>_xlfn.XLOOKUP(tbl_GoodsIssue[[#This Row],[Pick Line Key (Helper)]],[1]!tbl_PickingList[Pick Line Key (Helper)],[1]!tbl_PickingList[Request Line])</f>
        <v>10</v>
      </c>
      <c r="H14" s="17" t="str">
        <f>D14&amp;"-"&amp;E14</f>
        <v>PL-2026-0009-10</v>
      </c>
      <c r="I14" s="9" t="str">
        <f>_xlfn.XLOOKUP(tbl_GoodsIssue[[#This Row],[Pick Line Key (Helper)]],[1]!tbl_PickingList[Pick Line Key (Helper)],[1]!tbl_PickingList[Material Code])</f>
        <v>MAT-00013</v>
      </c>
      <c r="J14" s="9" t="str">
        <f>_xlfn.XLOOKUP(tbl_GoodsIssue[[#This Row],[Material Code]],[1]!tbl_MasterMaterial[Material Code],[1]!tbl_MasterMaterial[Material Description])</f>
        <v>Radiator Coolant 20L</v>
      </c>
      <c r="K14" s="10" t="str">
        <f>_xlfn.XLOOKUP(tbl_GoodsIssue[[#This Row],[Material Code]],[1]!tbl_MasterMaterial[Material Code],[1]!tbl_MasterMaterial[Base UoM])</f>
        <v>LTR</v>
      </c>
      <c r="L14" s="75" t="str">
        <f>_xlfn.XLOOKUP(tbl_GoodsIssue[[#This Row],[Pick Line Key (Helper)]],[1]!tbl_PickingList[Pick Line Key (Helper)],[1]!tbl_PickingList[Pick Location (Ref)])</f>
        <v>D-02-01-02</v>
      </c>
      <c r="M14" s="9" t="str">
        <f>_xlfn.XLOOKUP(tbl_GoodsIssue[[#This Row],[Pick Line Key (Helper)]],[1]!tbl_PickingList[Pick Line Key (Helper)],[1]!tbl_PickingList[Requesting Department (Ref)])</f>
        <v>Maintenance</v>
      </c>
      <c r="N14" s="12">
        <f>_xlfn.XLOOKUP(tbl_GoodsIssue[[#This Row],[Pick Line Key (Helper)]],[1]!tbl_PickingList[Pick Line Key (Helper)],[1]!tbl_PickingList[Quantity Picked])</f>
        <v>80</v>
      </c>
      <c r="O14" s="11">
        <v>80</v>
      </c>
      <c r="P14" s="19">
        <f>tbl_GoodsIssue[[#This Row],[Quantity Issued]]-tbl_GoodsIssue[[#This Row],[Quantity Picked (Ref)]]</f>
        <v>0</v>
      </c>
      <c r="Q14" s="66" t="str">
        <f>IF(tbl_GoodsIssue[[#This Row],[Quantity Issued]]&lt;tbl_GoodsIssue[[#This Row],[Quantity Picked (Ref)]],"Partial","Completed")</f>
        <v>Completed</v>
      </c>
      <c r="R14" s="7" t="s">
        <v>384</v>
      </c>
      <c r="S14" s="7" t="s">
        <v>341</v>
      </c>
      <c r="T14" s="6" t="s">
        <v>365</v>
      </c>
      <c r="U14" s="17" t="str">
        <f>tbl_GoodsIssue[[#This Row],[GI Number]]&amp;"-"&amp;tbl_GoodsIssue[[#This Row],[GI Line]]</f>
        <v>GI-2026-0009-10</v>
      </c>
    </row>
    <row r="15" spans="1:22" x14ac:dyDescent="0.25">
      <c r="A15" s="6" t="s">
        <v>419</v>
      </c>
      <c r="B15" s="7">
        <v>10</v>
      </c>
      <c r="C15" s="8">
        <v>46276</v>
      </c>
      <c r="D15" s="6" t="s">
        <v>396</v>
      </c>
      <c r="E15" s="7">
        <v>10</v>
      </c>
      <c r="F15" s="8" t="str">
        <f>_xlfn.XLOOKUP(tbl_GoodsIssue[[#This Row],[Pick Line Key (Helper)]],[1]!tbl_PickingList[Pick Line Key (Helper)],[1]!tbl_PickingList[Request Number])</f>
        <v>MR-2026-0012</v>
      </c>
      <c r="G15" s="7">
        <f>_xlfn.XLOOKUP(tbl_GoodsIssue[[#This Row],[Pick Line Key (Helper)]],[1]!tbl_PickingList[Pick Line Key (Helper)],[1]!tbl_PickingList[Request Line])</f>
        <v>10</v>
      </c>
      <c r="H15" s="17" t="str">
        <f>D15&amp;"-"&amp;E15</f>
        <v>PL-2026-0010-10</v>
      </c>
      <c r="I15" s="9" t="str">
        <f>_xlfn.XLOOKUP(tbl_GoodsIssue[[#This Row],[Pick Line Key (Helper)]],[1]!tbl_PickingList[Pick Line Key (Helper)],[1]!tbl_PickingList[Material Code])</f>
        <v>MAT-00015</v>
      </c>
      <c r="J15" s="9" t="str">
        <f>_xlfn.XLOOKUP(tbl_GoodsIssue[[#This Row],[Material Code]],[1]!tbl_MasterMaterial[Material Code],[1]!tbl_MasterMaterial[Material Description])</f>
        <v>Turbocharger Assembly (Cat C15)</v>
      </c>
      <c r="K15" s="10" t="str">
        <f>_xlfn.XLOOKUP(tbl_GoodsIssue[[#This Row],[Material Code]],[1]!tbl_MasterMaterial[Material Code],[1]!tbl_MasterMaterial[Base UoM])</f>
        <v>PCS</v>
      </c>
      <c r="L15" s="75" t="e">
        <f>_xlfn.XLOOKUP(tbl_GoodsIssue[[#This Row],[Pick Line Key (Helper)]],[1]!tbl_PickingList[Pick Line Key (Helper)],[1]!tbl_PickingList[Pick Location (Ref)])</f>
        <v>#N/A</v>
      </c>
      <c r="M15" s="9" t="str">
        <f>_xlfn.XLOOKUP(tbl_GoodsIssue[[#This Row],[Pick Line Key (Helper)]],[1]!tbl_PickingList[Pick Line Key (Helper)],[1]!tbl_PickingList[Requesting Department (Ref)])</f>
        <v>Production</v>
      </c>
      <c r="N15" s="12">
        <f>_xlfn.XLOOKUP(tbl_GoodsIssue[[#This Row],[Pick Line Key (Helper)]],[1]!tbl_PickingList[Pick Line Key (Helper)],[1]!tbl_PickingList[Quantity Picked])</f>
        <v>150</v>
      </c>
      <c r="O15" s="11">
        <v>150</v>
      </c>
      <c r="P15" s="19">
        <f>tbl_GoodsIssue[[#This Row],[Quantity Issued]]-tbl_GoodsIssue[[#This Row],[Quantity Picked (Ref)]]</f>
        <v>0</v>
      </c>
      <c r="Q15" s="66" t="str">
        <f>IF(tbl_GoodsIssue[[#This Row],[Quantity Issued]]&lt;tbl_GoodsIssue[[#This Row],[Quantity Picked (Ref)]],"Partial","Completed")</f>
        <v>Completed</v>
      </c>
      <c r="R15" s="7" t="s">
        <v>240</v>
      </c>
      <c r="S15" s="7" t="s">
        <v>344</v>
      </c>
      <c r="T15" s="6"/>
      <c r="U15" s="17" t="str">
        <f>tbl_GoodsIssue[[#This Row],[GI Number]]&amp;"-"&amp;tbl_GoodsIssue[[#This Row],[GI Line]]</f>
        <v>GI-2026-0010-10</v>
      </c>
    </row>
    <row r="18" spans="1:1" x14ac:dyDescent="0.25">
      <c r="A18" s="4" t="s">
        <v>67</v>
      </c>
    </row>
  </sheetData>
  <mergeCells count="1">
    <mergeCell ref="A1:V1"/>
  </mergeCells>
  <conditionalFormatting sqref="P4:Q15">
    <cfRule type="expression" dxfId="4" priority="3">
      <formula>$P4&gt;0</formula>
    </cfRule>
  </conditionalFormatting>
  <conditionalFormatting sqref="Q4:Q15">
    <cfRule type="expression" dxfId="3" priority="1">
      <formula>$Q4="Completed"</formula>
    </cfRule>
  </conditionalFormatting>
  <conditionalFormatting sqref="Q4:S15">
    <cfRule type="expression" dxfId="2" priority="4">
      <formula>#REF!&lt;&gt;"N/A"</formula>
    </cfRule>
  </conditionalFormatting>
  <conditionalFormatting sqref="Q16:S18">
    <cfRule type="expression" dxfId="1" priority="5">
      <formula>#REF!&gt;0</formula>
    </cfRule>
  </conditionalFormatting>
  <conditionalFormatting sqref="T16:T18">
    <cfRule type="expression" dxfId="0" priority="2">
      <formula>$T16&lt;&gt;"N/A"</formula>
    </cfRule>
  </conditionalFormatting>
  <dataValidations count="3">
    <dataValidation type="list" showInputMessage="1" showErrorMessage="1" sqref="R4:R15" xr:uid="{8EACE3EE-9719-405F-8974-4D6EA0955334}">
      <formula1>"Andi,Budi,Rizky,Dimas"</formula1>
    </dataValidation>
    <dataValidation type="list" allowBlank="1" showInputMessage="1" showErrorMessage="1" sqref="Q4:Q15" xr:uid="{398E02D3-CAAB-4C5B-9171-B601E03BF6DA}">
      <formula1>"Partial,Completed"</formula1>
    </dataValidation>
    <dataValidation type="list" showInputMessage="1" showErrorMessage="1" errorTitle="Invalid entry" error="Please select a value from the list." promptTitle="Issue Variance Reason" prompt="Reason if Quantity Issued is less than Quantity Picked." sqref="T16:T18" xr:uid="{2CC39F07-FE0D-45E2-8F12-F49E1ECAB3C3}">
      <formula1>"N/A,Damaged During Staging,Department Cancelled Partial Need,Recount Adjustment"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topLeftCell="B1" zoomScaleNormal="100" workbookViewId="0">
      <pane ySplit="1" topLeftCell="A2" activePane="bottomLeft" state="frozen"/>
      <selection pane="bottomLeft" activeCell="D5" sqref="D5"/>
    </sheetView>
  </sheetViews>
  <sheetFormatPr defaultColWidth="8.7109375" defaultRowHeight="15" x14ac:dyDescent="0.25"/>
  <sheetData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zoomScaleNormal="100" workbookViewId="0">
      <pane ySplit="1" topLeftCell="A2" activePane="bottomLeft" state="frozen"/>
      <selection pane="bottomLeft" activeCell="E6" sqref="E6"/>
    </sheetView>
  </sheetViews>
  <sheetFormatPr defaultColWidth="8.7109375" defaultRowHeight="15" x14ac:dyDescent="0.25"/>
  <sheetData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Normal="100" workbookViewId="0">
      <pane ySplit="1" topLeftCell="A2" activePane="bottomLeft" state="frozen"/>
      <selection pane="bottomLeft" activeCell="D6" sqref="D6"/>
    </sheetView>
  </sheetViews>
  <sheetFormatPr defaultColWidth="8.7109375" defaultRowHeight="15" x14ac:dyDescent="0.25"/>
  <sheetData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B70C100-15C8-4EC8-BBDC-E5994EB0AE6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01_Master_Material</vt:lpstr>
      <vt:lpstr>02_Master_Supplier</vt:lpstr>
      <vt:lpstr>03_Master_Location</vt:lpstr>
      <vt:lpstr>04_Purchase_Order</vt:lpstr>
      <vt:lpstr>05_Goods_Receipt</vt:lpstr>
      <vt:lpstr>06_Put_Away</vt:lpstr>
      <vt:lpstr>07_Material_Request</vt:lpstr>
      <vt:lpstr>08_Picking_List</vt:lpstr>
      <vt:lpstr>09_Goods_Issue</vt:lpstr>
      <vt:lpstr>10_Stock_Card</vt:lpstr>
      <vt:lpstr>11_Cycle_Count</vt:lpstr>
      <vt:lpstr>12_Dashboard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Fikri F</cp:lastModifiedBy>
  <cp:revision>1</cp:revision>
  <dcterms:created xsi:type="dcterms:W3CDTF">2026-07-24T04:03:03Z</dcterms:created>
  <dcterms:modified xsi:type="dcterms:W3CDTF">2026-08-07T03:46:09Z</dcterms:modified>
  <dc:language>en-US</dc:language>
</cp:coreProperties>
</file>