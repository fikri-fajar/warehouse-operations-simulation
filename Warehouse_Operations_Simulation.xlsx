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Upgrade skill\1. Excel - Data Analytics\Project\"/>
    </mc:Choice>
  </mc:AlternateContent>
  <xr:revisionPtr revIDLastSave="0" documentId="13_ncr:1_{C643BF5E-8E1F-4ADF-874B-F23B752043BE}" xr6:coauthVersionLast="47" xr6:coauthVersionMax="47" xr10:uidLastSave="{00000000-0000-0000-0000-000000000000}"/>
  <bookViews>
    <workbookView xWindow="-120" yWindow="-120" windowWidth="21840" windowHeight="13140" tabRatio="500" xr2:uid="{00000000-000D-0000-FFFF-FFFF00000000}"/>
  </bookViews>
  <sheets>
    <sheet name="01_Master_Material" sheetId="1" r:id="rId1"/>
    <sheet name="02_Master_Supplier" sheetId="2" r:id="rId2"/>
    <sheet name="03_Master_Location" sheetId="3" r:id="rId3"/>
    <sheet name="04_Purchase_Order" sheetId="4" r:id="rId4"/>
    <sheet name="05_Goods_Receipt" sheetId="5" r:id="rId5"/>
    <sheet name="06_Put_Away" sheetId="6" r:id="rId6"/>
    <sheet name="07_Material_Request" sheetId="7" r:id="rId7"/>
    <sheet name="08_Picking_List" sheetId="8" r:id="rId8"/>
    <sheet name="09_Goods_Issue" sheetId="9" r:id="rId9"/>
    <sheet name="10_Stock_Card" sheetId="15" r:id="rId10"/>
    <sheet name="11_Cycle_Count" sheetId="11" r:id="rId11"/>
    <sheet name="12_Dashboard" sheetId="12" r:id="rId12"/>
  </sheets>
  <definedNames>
    <definedName name="_xlnm._FilterDatabase" localSheetId="0" hidden="1">'01_Master_Material'!$A$26:$A$29</definedName>
    <definedName name="_xlnm._FilterDatabase" localSheetId="9" hidden="1">'10_Stock_Card'!$A$3:$N$32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5" i="7" l="1"/>
  <c r="L6" i="7"/>
  <c r="L7" i="7"/>
  <c r="L8" i="7"/>
  <c r="L9" i="7"/>
  <c r="L10" i="7"/>
  <c r="L11" i="7"/>
  <c r="L13" i="7"/>
  <c r="L14" i="7"/>
  <c r="L16" i="7"/>
  <c r="L17" i="7"/>
  <c r="L18" i="7"/>
  <c r="F4" i="11"/>
  <c r="F5" i="11"/>
  <c r="F6" i="11"/>
  <c r="F7" i="11"/>
  <c r="F8" i="11"/>
  <c r="F9" i="11"/>
  <c r="F10" i="11"/>
  <c r="F11" i="11"/>
  <c r="L5" i="11" l="1"/>
  <c r="L6" i="11"/>
  <c r="L7" i="11"/>
  <c r="L8" i="11"/>
  <c r="L9" i="11"/>
  <c r="L10" i="11"/>
  <c r="L11" i="11"/>
  <c r="L4" i="11"/>
  <c r="E5" i="11"/>
  <c r="E6" i="11"/>
  <c r="E7" i="11"/>
  <c r="E8" i="11"/>
  <c r="E9" i="11"/>
  <c r="E10" i="11"/>
  <c r="E11" i="11"/>
  <c r="E4" i="11"/>
  <c r="T5" i="11"/>
  <c r="T6" i="11"/>
  <c r="T7" i="11"/>
  <c r="T8" i="11"/>
  <c r="T9" i="11"/>
  <c r="T10" i="11"/>
  <c r="T11" i="11"/>
  <c r="T4" i="11"/>
  <c r="U4" i="9"/>
  <c r="M12" i="7"/>
  <c r="M15" i="7"/>
  <c r="K26" i="5" a="1"/>
  <c r="K26" i="5" s="1"/>
  <c r="A4" i="15" l="1" a="1"/>
  <c r="F15" i="8"/>
  <c r="S15" i="8"/>
  <c r="S18" i="6"/>
  <c r="G20" i="6"/>
  <c r="S20" i="6"/>
  <c r="W20" i="6"/>
  <c r="G18" i="6"/>
  <c r="W18" i="6"/>
  <c r="G19" i="6"/>
  <c r="S19" i="6"/>
  <c r="W19" i="6"/>
  <c r="F19" i="5"/>
  <c r="T19" i="5"/>
  <c r="AB19" i="5"/>
  <c r="F18" i="5"/>
  <c r="T18" i="5"/>
  <c r="AB18" i="5"/>
  <c r="F20" i="5"/>
  <c r="T20" i="5"/>
  <c r="U20" i="5" s="1"/>
  <c r="AB20" i="5"/>
  <c r="E24" i="4"/>
  <c r="G24" i="4"/>
  <c r="K24" i="4"/>
  <c r="M24" i="4"/>
  <c r="N24" i="4" s="1"/>
  <c r="S24" i="4"/>
  <c r="E25" i="4"/>
  <c r="G25" i="4"/>
  <c r="K25" i="4"/>
  <c r="M25" i="4"/>
  <c r="N25" i="4" s="1"/>
  <c r="S25" i="4"/>
  <c r="E26" i="4"/>
  <c r="G26" i="4"/>
  <c r="K26" i="4"/>
  <c r="M26" i="4"/>
  <c r="N26" i="4" s="1"/>
  <c r="S26" i="4"/>
  <c r="U5" i="9"/>
  <c r="U6" i="9"/>
  <c r="U7" i="9"/>
  <c r="U8" i="9"/>
  <c r="U9" i="9"/>
  <c r="U10" i="9"/>
  <c r="U11" i="9"/>
  <c r="U12" i="9"/>
  <c r="U13" i="9"/>
  <c r="U14" i="9"/>
  <c r="U15" i="9"/>
  <c r="A4" i="15" l="1"/>
  <c r="U18" i="5"/>
  <c r="U19" i="5"/>
  <c r="H6" i="9"/>
  <c r="H7" i="9"/>
  <c r="H8" i="9"/>
  <c r="H9" i="9"/>
  <c r="H10" i="9"/>
  <c r="H11" i="9"/>
  <c r="H12" i="9"/>
  <c r="H13" i="9"/>
  <c r="S5" i="8"/>
  <c r="S6" i="8"/>
  <c r="S7" i="8"/>
  <c r="S8" i="8"/>
  <c r="S9" i="8"/>
  <c r="S10" i="8"/>
  <c r="S11" i="8"/>
  <c r="S12" i="8"/>
  <c r="S13" i="8"/>
  <c r="S14" i="8"/>
  <c r="S4" i="8"/>
  <c r="H4" i="7"/>
  <c r="R8" i="7"/>
  <c r="R9" i="7"/>
  <c r="R10" i="7"/>
  <c r="R11" i="7"/>
  <c r="R12" i="7"/>
  <c r="R13" i="7"/>
  <c r="R14" i="7"/>
  <c r="R15" i="7"/>
  <c r="R16" i="7"/>
  <c r="R17" i="7"/>
  <c r="R18" i="7"/>
  <c r="R5" i="7"/>
  <c r="R6" i="7"/>
  <c r="R7" i="7"/>
  <c r="R4" i="7"/>
  <c r="F5" i="8"/>
  <c r="F6" i="8"/>
  <c r="F7" i="8"/>
  <c r="F8" i="8"/>
  <c r="F9" i="8"/>
  <c r="F10" i="8"/>
  <c r="F11" i="8"/>
  <c r="F12" i="8"/>
  <c r="F13" i="8"/>
  <c r="F14" i="8"/>
  <c r="F4" i="8"/>
  <c r="G15" i="8" l="1"/>
  <c r="K15" i="8"/>
  <c r="L15" i="8"/>
  <c r="P15" i="8" s="1"/>
  <c r="L10" i="8"/>
  <c r="P10" i="8" s="1"/>
  <c r="L11" i="8"/>
  <c r="P11" i="8" s="1"/>
  <c r="J15" i="8"/>
  <c r="F13" i="9"/>
  <c r="L9" i="8"/>
  <c r="P9" i="8" s="1"/>
  <c r="L8" i="8"/>
  <c r="P8" i="8" s="1"/>
  <c r="F11" i="9"/>
  <c r="V11" i="9" s="1"/>
  <c r="F7" i="9"/>
  <c r="V7" i="9" s="1"/>
  <c r="F6" i="9"/>
  <c r="G11" i="9"/>
  <c r="G7" i="9"/>
  <c r="N8" i="9"/>
  <c r="N7" i="9"/>
  <c r="P7" i="9" s="1"/>
  <c r="F8" i="9"/>
  <c r="G12" i="9"/>
  <c r="N9" i="9"/>
  <c r="P9" i="9" s="1"/>
  <c r="N6" i="9"/>
  <c r="P6" i="9" s="1"/>
  <c r="G9" i="9"/>
  <c r="F12" i="9"/>
  <c r="G8" i="9"/>
  <c r="N13" i="9"/>
  <c r="P13" i="9" s="1"/>
  <c r="N12" i="9"/>
  <c r="P12" i="9" s="1"/>
  <c r="G10" i="9"/>
  <c r="F10" i="9"/>
  <c r="G6" i="9"/>
  <c r="N11" i="9"/>
  <c r="P11" i="9" s="1"/>
  <c r="F9" i="9"/>
  <c r="V9" i="9" s="1"/>
  <c r="G13" i="9"/>
  <c r="N10" i="9"/>
  <c r="P10" i="9" s="1"/>
  <c r="G11" i="8"/>
  <c r="K12" i="8"/>
  <c r="J11" i="8"/>
  <c r="M11" i="9" s="1"/>
  <c r="K7" i="8"/>
  <c r="L14" i="8"/>
  <c r="P14" i="8" s="1"/>
  <c r="L12" i="8"/>
  <c r="P12" i="8" s="1"/>
  <c r="L7" i="8"/>
  <c r="P7" i="8" s="1"/>
  <c r="K14" i="8"/>
  <c r="G10" i="8"/>
  <c r="K13" i="8"/>
  <c r="K6" i="8"/>
  <c r="J10" i="8"/>
  <c r="M10" i="9" s="1"/>
  <c r="L13" i="8"/>
  <c r="P13" i="8" s="1"/>
  <c r="L6" i="8"/>
  <c r="P6" i="8" s="1"/>
  <c r="G9" i="8"/>
  <c r="K5" i="8"/>
  <c r="J9" i="8"/>
  <c r="M9" i="9" s="1"/>
  <c r="L5" i="8"/>
  <c r="P5" i="8" s="1"/>
  <c r="G14" i="8"/>
  <c r="G7" i="8"/>
  <c r="K11" i="8"/>
  <c r="J14" i="8"/>
  <c r="J7" i="8"/>
  <c r="M7" i="9" s="1"/>
  <c r="G8" i="8"/>
  <c r="G13" i="8"/>
  <c r="G6" i="8"/>
  <c r="K10" i="8"/>
  <c r="J13" i="8"/>
  <c r="M13" i="9" s="1"/>
  <c r="J6" i="8"/>
  <c r="M6" i="9" s="1"/>
  <c r="H4" i="8"/>
  <c r="K4" i="8"/>
  <c r="G5" i="8"/>
  <c r="K9" i="8"/>
  <c r="J5" i="8"/>
  <c r="J8" i="8"/>
  <c r="M8" i="9" s="1"/>
  <c r="L4" i="8"/>
  <c r="P4" i="8" s="1"/>
  <c r="G12" i="8"/>
  <c r="G4" i="8"/>
  <c r="K8" i="8"/>
  <c r="J12" i="8"/>
  <c r="M12" i="9" s="1"/>
  <c r="J4" i="8"/>
  <c r="I5" i="7"/>
  <c r="I5" i="8" s="1"/>
  <c r="I6" i="7"/>
  <c r="I6" i="8" s="1"/>
  <c r="I7" i="7"/>
  <c r="I7" i="8" s="1"/>
  <c r="I8" i="7"/>
  <c r="I9" i="7"/>
  <c r="I8" i="8" s="1"/>
  <c r="I10" i="7"/>
  <c r="I9" i="8" s="1"/>
  <c r="I11" i="7"/>
  <c r="I10" i="8" s="1"/>
  <c r="I12" i="7"/>
  <c r="I13" i="7"/>
  <c r="I11" i="8" s="1"/>
  <c r="I14" i="7"/>
  <c r="I12" i="8" s="1"/>
  <c r="I15" i="7"/>
  <c r="I16" i="7"/>
  <c r="I13" i="8" s="1"/>
  <c r="I17" i="7"/>
  <c r="I14" i="8" s="1"/>
  <c r="I18" i="7"/>
  <c r="I15" i="8" s="1"/>
  <c r="I4" i="7"/>
  <c r="I4" i="8" s="1"/>
  <c r="H15" i="7"/>
  <c r="H16" i="7"/>
  <c r="H17" i="7"/>
  <c r="H14" i="8" s="1"/>
  <c r="H18" i="7"/>
  <c r="H15" i="8" s="1"/>
  <c r="H5" i="7"/>
  <c r="H5" i="8" s="1"/>
  <c r="H6" i="7"/>
  <c r="H6" i="8" s="1"/>
  <c r="H7" i="7"/>
  <c r="H7" i="8" s="1"/>
  <c r="H8" i="7"/>
  <c r="H9" i="7"/>
  <c r="H8" i="8" s="1"/>
  <c r="H10" i="7"/>
  <c r="H9" i="8" s="1"/>
  <c r="H11" i="7"/>
  <c r="H10" i="8" s="1"/>
  <c r="H12" i="7"/>
  <c r="H13" i="7"/>
  <c r="H11" i="8" s="1"/>
  <c r="H14" i="7"/>
  <c r="H12" i="8" s="1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G17" i="6"/>
  <c r="V13" i="9" l="1"/>
  <c r="V12" i="9"/>
  <c r="V6" i="9"/>
  <c r="V10" i="9"/>
  <c r="V8" i="9"/>
  <c r="Q8" i="9"/>
  <c r="P8" i="9"/>
  <c r="H13" i="8"/>
  <c r="I9" i="9"/>
  <c r="K9" i="9" s="1"/>
  <c r="I10" i="9"/>
  <c r="K10" i="9" s="1"/>
  <c r="I13" i="9"/>
  <c r="I12" i="9"/>
  <c r="K12" i="9" s="1"/>
  <c r="I6" i="9"/>
  <c r="J6" i="9" s="1"/>
  <c r="I11" i="9"/>
  <c r="I8" i="9"/>
  <c r="I7" i="9"/>
  <c r="J7" i="9" s="1"/>
  <c r="Q7" i="9"/>
  <c r="Q9" i="9"/>
  <c r="Q10" i="9"/>
  <c r="Q12" i="9"/>
  <c r="Q6" i="9"/>
  <c r="Q11" i="9"/>
  <c r="Q13" i="9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4" i="6"/>
  <c r="G5" i="6"/>
  <c r="G6" i="6"/>
  <c r="G7" i="6"/>
  <c r="G8" i="6"/>
  <c r="G9" i="6"/>
  <c r="G10" i="6"/>
  <c r="G11" i="6"/>
  <c r="G12" i="6"/>
  <c r="G13" i="6"/>
  <c r="G14" i="6"/>
  <c r="G15" i="6"/>
  <c r="G16" i="6"/>
  <c r="G4" i="6"/>
  <c r="F4" i="5"/>
  <c r="T4" i="5"/>
  <c r="U4" i="5" s="1"/>
  <c r="AB4" i="5"/>
  <c r="F5" i="5"/>
  <c r="T5" i="5"/>
  <c r="U5" i="5" s="1"/>
  <c r="AB5" i="5"/>
  <c r="F6" i="5"/>
  <c r="T6" i="5"/>
  <c r="U6" i="5" s="1"/>
  <c r="AB6" i="5"/>
  <c r="F7" i="5"/>
  <c r="T7" i="5"/>
  <c r="U7" i="5" s="1"/>
  <c r="AB7" i="5"/>
  <c r="F8" i="5"/>
  <c r="T8" i="5"/>
  <c r="U8" i="5" s="1"/>
  <c r="AB8" i="5"/>
  <c r="F9" i="5"/>
  <c r="T9" i="5"/>
  <c r="U9" i="5" s="1"/>
  <c r="AB9" i="5"/>
  <c r="F10" i="5"/>
  <c r="T10" i="5"/>
  <c r="U10" i="5" s="1"/>
  <c r="AB10" i="5"/>
  <c r="F11" i="5"/>
  <c r="T11" i="5"/>
  <c r="U11" i="5" s="1"/>
  <c r="AB11" i="5"/>
  <c r="F12" i="5"/>
  <c r="T12" i="5"/>
  <c r="U12" i="5" s="1"/>
  <c r="AB12" i="5"/>
  <c r="F13" i="5"/>
  <c r="T13" i="5"/>
  <c r="U13" i="5" s="1"/>
  <c r="AB13" i="5"/>
  <c r="F14" i="5"/>
  <c r="T14" i="5"/>
  <c r="U14" i="5" s="1"/>
  <c r="AB14" i="5"/>
  <c r="F15" i="5"/>
  <c r="T15" i="5"/>
  <c r="U15" i="5" s="1"/>
  <c r="AB15" i="5"/>
  <c r="F16" i="5"/>
  <c r="T16" i="5"/>
  <c r="U16" i="5" s="1"/>
  <c r="AB16" i="5"/>
  <c r="F17" i="5"/>
  <c r="T17" i="5"/>
  <c r="U17" i="5" s="1"/>
  <c r="AB17" i="5"/>
  <c r="J9" i="9" l="1"/>
  <c r="K13" i="9"/>
  <c r="J10" i="9"/>
  <c r="J12" i="9"/>
  <c r="J13" i="9"/>
  <c r="J8" i="9"/>
  <c r="D18" i="6"/>
  <c r="K18" i="6"/>
  <c r="U18" i="6" s="1"/>
  <c r="D19" i="6"/>
  <c r="O19" i="6"/>
  <c r="D20" i="6"/>
  <c r="O20" i="6"/>
  <c r="K20" i="6"/>
  <c r="U20" i="6" s="1"/>
  <c r="O18" i="6"/>
  <c r="K19" i="6"/>
  <c r="U19" i="6" s="1"/>
  <c r="J20" i="6"/>
  <c r="J18" i="6"/>
  <c r="J19" i="6"/>
  <c r="O26" i="4"/>
  <c r="O25" i="4"/>
  <c r="O24" i="4"/>
  <c r="K8" i="9"/>
  <c r="K6" i="9"/>
  <c r="K11" i="9"/>
  <c r="K7" i="9"/>
  <c r="J11" i="9"/>
  <c r="J17" i="6"/>
  <c r="J14" i="6"/>
  <c r="J13" i="6"/>
  <c r="D12" i="6"/>
  <c r="J5" i="6"/>
  <c r="J4" i="6"/>
  <c r="J10" i="6"/>
  <c r="J6" i="6"/>
  <c r="J9" i="6"/>
  <c r="J16" i="6"/>
  <c r="J8" i="6"/>
  <c r="J15" i="6"/>
  <c r="J7" i="6"/>
  <c r="D17" i="6"/>
  <c r="D9" i="6"/>
  <c r="K11" i="6"/>
  <c r="U11" i="6" s="1"/>
  <c r="O11" i="6"/>
  <c r="D16" i="6"/>
  <c r="D8" i="6"/>
  <c r="K10" i="6"/>
  <c r="U10" i="6" s="1"/>
  <c r="O10" i="6"/>
  <c r="D15" i="6"/>
  <c r="D7" i="6"/>
  <c r="K17" i="6"/>
  <c r="U17" i="6" s="1"/>
  <c r="O17" i="6"/>
  <c r="K9" i="6"/>
  <c r="U9" i="6" s="1"/>
  <c r="O9" i="6"/>
  <c r="D14" i="6"/>
  <c r="D6" i="6"/>
  <c r="K16" i="6"/>
  <c r="U16" i="6" s="1"/>
  <c r="O16" i="6"/>
  <c r="K8" i="6"/>
  <c r="U8" i="6" s="1"/>
  <c r="O8" i="6"/>
  <c r="D13" i="6"/>
  <c r="D5" i="6"/>
  <c r="K15" i="6"/>
  <c r="U15" i="6" s="1"/>
  <c r="O15" i="6"/>
  <c r="O7" i="6"/>
  <c r="K7" i="6"/>
  <c r="U7" i="6" s="1"/>
  <c r="K12" i="6"/>
  <c r="U12" i="6" s="1"/>
  <c r="O12" i="6"/>
  <c r="K14" i="6"/>
  <c r="U14" i="6" s="1"/>
  <c r="O14" i="6"/>
  <c r="O6" i="6"/>
  <c r="K6" i="6"/>
  <c r="U6" i="6" s="1"/>
  <c r="D11" i="6"/>
  <c r="J12" i="6"/>
  <c r="O13" i="6"/>
  <c r="K13" i="6"/>
  <c r="U13" i="6" s="1"/>
  <c r="O5" i="6"/>
  <c r="K5" i="6"/>
  <c r="U5" i="6" s="1"/>
  <c r="D10" i="6"/>
  <c r="J11" i="6"/>
  <c r="D4" i="6"/>
  <c r="K4" i="6"/>
  <c r="U4" i="6" s="1"/>
  <c r="O4" i="6"/>
  <c r="S6" i="4"/>
  <c r="S7" i="4"/>
  <c r="S9" i="4"/>
  <c r="S5" i="4"/>
  <c r="S8" i="4"/>
  <c r="O8" i="4" s="1"/>
  <c r="S4" i="4"/>
  <c r="K6" i="5" s="1"/>
  <c r="S16" i="4"/>
  <c r="S17" i="4"/>
  <c r="S14" i="4"/>
  <c r="S18" i="4"/>
  <c r="S15" i="4"/>
  <c r="S19" i="4"/>
  <c r="S23" i="4"/>
  <c r="S13" i="4"/>
  <c r="S10" i="4"/>
  <c r="S21" i="4"/>
  <c r="S20" i="4"/>
  <c r="S12" i="4"/>
  <c r="S11" i="4"/>
  <c r="S22" i="4"/>
  <c r="N19" i="5" l="1"/>
  <c r="Z19" i="5" s="1"/>
  <c r="K19" i="5"/>
  <c r="X19" i="5" s="1"/>
  <c r="Y19" i="5" s="1"/>
  <c r="L19" i="5"/>
  <c r="L19" i="6" s="1"/>
  <c r="G19" i="5"/>
  <c r="H19" i="5" s="1"/>
  <c r="M19" i="5"/>
  <c r="I19" i="5"/>
  <c r="N18" i="5"/>
  <c r="Z18" i="5" s="1"/>
  <c r="M18" i="5"/>
  <c r="G18" i="5"/>
  <c r="H18" i="5" s="1"/>
  <c r="L18" i="5"/>
  <c r="L18" i="6" s="1"/>
  <c r="K18" i="5"/>
  <c r="X18" i="5" s="1"/>
  <c r="Y18" i="5" s="1"/>
  <c r="I18" i="5"/>
  <c r="N20" i="5"/>
  <c r="Z20" i="5" s="1"/>
  <c r="M20" i="5"/>
  <c r="G20" i="5"/>
  <c r="H20" i="5" s="1"/>
  <c r="L20" i="5"/>
  <c r="L20" i="6" s="1"/>
  <c r="K20" i="5"/>
  <c r="X20" i="5" s="1"/>
  <c r="Y20" i="5" s="1"/>
  <c r="I20" i="5"/>
  <c r="H20" i="6" s="1"/>
  <c r="P24" i="4"/>
  <c r="Q24" i="4"/>
  <c r="P25" i="4"/>
  <c r="Q25" i="4"/>
  <c r="P26" i="4"/>
  <c r="Q26" i="4"/>
  <c r="I4" i="5"/>
  <c r="J4" i="5" s="1"/>
  <c r="I14" i="5"/>
  <c r="X6" i="5"/>
  <c r="Y6" i="5" s="1"/>
  <c r="M6" i="5"/>
  <c r="M7" i="5"/>
  <c r="K8" i="5"/>
  <c r="K7" i="5"/>
  <c r="K5" i="5"/>
  <c r="G9" i="5"/>
  <c r="H9" i="5" s="1"/>
  <c r="M5" i="5"/>
  <c r="G4" i="5"/>
  <c r="H4" i="5" s="1"/>
  <c r="K9" i="5"/>
  <c r="I11" i="5"/>
  <c r="I15" i="5"/>
  <c r="M11" i="5"/>
  <c r="M17" i="5"/>
  <c r="M9" i="5"/>
  <c r="K13" i="5"/>
  <c r="M14" i="5"/>
  <c r="I6" i="5"/>
  <c r="I16" i="5"/>
  <c r="M4" i="5"/>
  <c r="M12" i="5"/>
  <c r="G15" i="5"/>
  <c r="H15" i="5" s="1"/>
  <c r="K16" i="5"/>
  <c r="M13" i="5"/>
  <c r="G6" i="5"/>
  <c r="H6" i="5" s="1"/>
  <c r="M16" i="5"/>
  <c r="I17" i="5"/>
  <c r="M10" i="5"/>
  <c r="G10" i="5"/>
  <c r="H10" i="5" s="1"/>
  <c r="G8" i="5"/>
  <c r="H8" i="5" s="1"/>
  <c r="I10" i="5"/>
  <c r="I12" i="5"/>
  <c r="M8" i="5"/>
  <c r="I9" i="5"/>
  <c r="K11" i="5"/>
  <c r="G12" i="5"/>
  <c r="H12" i="5" s="1"/>
  <c r="G14" i="5"/>
  <c r="H14" i="5" s="1"/>
  <c r="G7" i="5"/>
  <c r="H7" i="5" s="1"/>
  <c r="I8" i="5"/>
  <c r="K10" i="5"/>
  <c r="G16" i="5"/>
  <c r="H16" i="5" s="1"/>
  <c r="K12" i="5"/>
  <c r="I5" i="5"/>
  <c r="G11" i="5"/>
  <c r="H11" i="5" s="1"/>
  <c r="K14" i="5"/>
  <c r="K17" i="5"/>
  <c r="G5" i="5"/>
  <c r="H5" i="5" s="1"/>
  <c r="I13" i="5"/>
  <c r="K4" i="5"/>
  <c r="X4" i="5" s="1"/>
  <c r="M15" i="5"/>
  <c r="G13" i="5"/>
  <c r="H13" i="5" s="1"/>
  <c r="K15" i="5"/>
  <c r="G17" i="5"/>
  <c r="H17" i="5" s="1"/>
  <c r="I7" i="5"/>
  <c r="O4" i="4"/>
  <c r="Q4" i="4" s="1"/>
  <c r="O5" i="4"/>
  <c r="Q5" i="4" s="1"/>
  <c r="O6" i="4"/>
  <c r="Q6" i="4" s="1"/>
  <c r="O7" i="4"/>
  <c r="Q7" i="4" s="1"/>
  <c r="Q8" i="4"/>
  <c r="O9" i="4"/>
  <c r="Q9" i="4" s="1"/>
  <c r="O13" i="4"/>
  <c r="Q13" i="4" s="1"/>
  <c r="O15" i="4"/>
  <c r="Q15" i="4" s="1"/>
  <c r="O22" i="4"/>
  <c r="Q22" i="4" s="1"/>
  <c r="O18" i="4"/>
  <c r="Q18" i="4" s="1"/>
  <c r="O11" i="4"/>
  <c r="Q11" i="4" s="1"/>
  <c r="O17" i="4"/>
  <c r="Q17" i="4" s="1"/>
  <c r="O14" i="4"/>
  <c r="Q14" i="4" s="1"/>
  <c r="O19" i="4"/>
  <c r="Q19" i="4" s="1"/>
  <c r="O23" i="4"/>
  <c r="Q23" i="4" s="1"/>
  <c r="O20" i="4"/>
  <c r="Q20" i="4" s="1"/>
  <c r="O21" i="4"/>
  <c r="O12" i="4"/>
  <c r="Q12" i="4" s="1"/>
  <c r="O16" i="4"/>
  <c r="Q16" i="4" s="1"/>
  <c r="O10" i="4"/>
  <c r="Q10" i="4" s="1"/>
  <c r="J19" i="5" l="1"/>
  <c r="H19" i="6"/>
  <c r="J18" i="5"/>
  <c r="H18" i="6"/>
  <c r="P20" i="6"/>
  <c r="Q20" i="6"/>
  <c r="T20" i="6" s="1"/>
  <c r="N20" i="6"/>
  <c r="J20" i="5"/>
  <c r="I20" i="6" s="1"/>
  <c r="H4" i="6"/>
  <c r="J17" i="5"/>
  <c r="H17" i="6"/>
  <c r="J16" i="5"/>
  <c r="H16" i="6"/>
  <c r="J11" i="5"/>
  <c r="H11" i="6"/>
  <c r="J15" i="5"/>
  <c r="H15" i="6"/>
  <c r="J13" i="5"/>
  <c r="H13" i="6"/>
  <c r="J12" i="5"/>
  <c r="H12" i="6"/>
  <c r="J14" i="5"/>
  <c r="H14" i="6"/>
  <c r="J8" i="5"/>
  <c r="H8" i="6"/>
  <c r="J10" i="5"/>
  <c r="H10" i="6"/>
  <c r="J9" i="5"/>
  <c r="H9" i="6"/>
  <c r="J7" i="5"/>
  <c r="H7" i="6"/>
  <c r="J6" i="5"/>
  <c r="H6" i="6"/>
  <c r="J5" i="5"/>
  <c r="H5" i="6"/>
  <c r="X14" i="5"/>
  <c r="Y14" i="5" s="1"/>
  <c r="X7" i="5"/>
  <c r="Y7" i="5" s="1"/>
  <c r="X15" i="5"/>
  <c r="Y15" i="5" s="1"/>
  <c r="X8" i="5"/>
  <c r="Y8" i="5" s="1"/>
  <c r="X11" i="5"/>
  <c r="Y11" i="5" s="1"/>
  <c r="X5" i="5"/>
  <c r="Y5" i="5" s="1"/>
  <c r="X12" i="5"/>
  <c r="Y12" i="5" s="1"/>
  <c r="X9" i="5"/>
  <c r="Y9" i="5" s="1"/>
  <c r="X10" i="5"/>
  <c r="Y10" i="5" s="1"/>
  <c r="X13" i="5"/>
  <c r="Y13" i="5" s="1"/>
  <c r="X17" i="5"/>
  <c r="Y17" i="5" s="1"/>
  <c r="X16" i="5"/>
  <c r="Y16" i="5" s="1"/>
  <c r="Y4" i="5"/>
  <c r="P20" i="4"/>
  <c r="Q21" i="4"/>
  <c r="P6" i="4"/>
  <c r="P7" i="4"/>
  <c r="P5" i="4"/>
  <c r="P8" i="4"/>
  <c r="P10" i="4"/>
  <c r="P22" i="4"/>
  <c r="P18" i="4"/>
  <c r="P23" i="4"/>
  <c r="P11" i="4"/>
  <c r="P17" i="4"/>
  <c r="P13" i="4"/>
  <c r="P21" i="4"/>
  <c r="P9" i="4"/>
  <c r="P19" i="4"/>
  <c r="P16" i="4"/>
  <c r="P14" i="4"/>
  <c r="P15" i="4"/>
  <c r="P12" i="4"/>
  <c r="P4" i="4"/>
  <c r="M15" i="4"/>
  <c r="N15" i="4" s="1"/>
  <c r="N11" i="5" s="1"/>
  <c r="Z11" i="5" s="1"/>
  <c r="M16" i="4"/>
  <c r="N16" i="4" s="1"/>
  <c r="N9" i="5" s="1"/>
  <c r="Z9" i="5" s="1"/>
  <c r="M17" i="4"/>
  <c r="N17" i="4" s="1"/>
  <c r="N10" i="5" s="1"/>
  <c r="Z10" i="5" s="1"/>
  <c r="M18" i="4"/>
  <c r="N18" i="4" s="1"/>
  <c r="N12" i="5" s="1"/>
  <c r="Z12" i="5" s="1"/>
  <c r="M19" i="4"/>
  <c r="N19" i="4" s="1"/>
  <c r="N13" i="5" s="1"/>
  <c r="Z13" i="5" s="1"/>
  <c r="M20" i="4"/>
  <c r="N20" i="4" s="1"/>
  <c r="N17" i="5" s="1"/>
  <c r="Z17" i="5" s="1"/>
  <c r="M21" i="4"/>
  <c r="N21" i="4" s="1"/>
  <c r="M22" i="4"/>
  <c r="N22" i="4" s="1"/>
  <c r="M23" i="4"/>
  <c r="N23" i="4" s="1"/>
  <c r="N14" i="5" s="1"/>
  <c r="Z14" i="5" s="1"/>
  <c r="M5" i="4"/>
  <c r="N5" i="4" s="1"/>
  <c r="N7" i="5" s="1"/>
  <c r="Z7" i="5" s="1"/>
  <c r="M6" i="4"/>
  <c r="N6" i="4" s="1"/>
  <c r="N8" i="5" s="1"/>
  <c r="Z8" i="5" s="1"/>
  <c r="M7" i="4"/>
  <c r="N7" i="4" s="1"/>
  <c r="N4" i="5" s="1"/>
  <c r="Z4" i="5" s="1"/>
  <c r="M8" i="4"/>
  <c r="N8" i="4" s="1"/>
  <c r="M9" i="4"/>
  <c r="N9" i="4" s="1"/>
  <c r="M10" i="4"/>
  <c r="N10" i="4" s="1"/>
  <c r="M11" i="4"/>
  <c r="N11" i="4" s="1"/>
  <c r="M12" i="4"/>
  <c r="N12" i="4" s="1"/>
  <c r="M13" i="4"/>
  <c r="N13" i="4" s="1"/>
  <c r="N15" i="5" s="1"/>
  <c r="Z15" i="5" s="1"/>
  <c r="M14" i="4"/>
  <c r="N14" i="4" s="1"/>
  <c r="N16" i="5" s="1"/>
  <c r="Z16" i="5" s="1"/>
  <c r="M4" i="4"/>
  <c r="N4" i="4" s="1"/>
  <c r="N6" i="5" s="1"/>
  <c r="Z6" i="5" s="1"/>
  <c r="L6" i="5"/>
  <c r="L6" i="6" s="1"/>
  <c r="L7" i="5"/>
  <c r="L7" i="6" s="1"/>
  <c r="L8" i="5"/>
  <c r="L8" i="6" s="1"/>
  <c r="L4" i="5"/>
  <c r="L4" i="6" s="1"/>
  <c r="L15" i="5"/>
  <c r="L15" i="6" s="1"/>
  <c r="L16" i="5"/>
  <c r="L16" i="6" s="1"/>
  <c r="L11" i="5"/>
  <c r="L11" i="6" s="1"/>
  <c r="L9" i="5"/>
  <c r="L9" i="6" s="1"/>
  <c r="L10" i="5"/>
  <c r="L10" i="6" s="1"/>
  <c r="L12" i="5"/>
  <c r="L12" i="6" s="1"/>
  <c r="L13" i="5"/>
  <c r="L13" i="6" s="1"/>
  <c r="L17" i="5"/>
  <c r="L17" i="6" s="1"/>
  <c r="L14" i="5"/>
  <c r="L14" i="6" s="1"/>
  <c r="N4" i="6" l="1"/>
  <c r="M15" i="8"/>
  <c r="M12" i="8"/>
  <c r="L12" i="9" s="1"/>
  <c r="M8" i="8"/>
  <c r="L8" i="9" s="1"/>
  <c r="M14" i="8"/>
  <c r="M10" i="8"/>
  <c r="L10" i="9" s="1"/>
  <c r="M5" i="8"/>
  <c r="M4" i="8"/>
  <c r="M9" i="8"/>
  <c r="L9" i="9" s="1"/>
  <c r="M7" i="8"/>
  <c r="L7" i="9" s="1"/>
  <c r="M13" i="8"/>
  <c r="L13" i="9" s="1"/>
  <c r="M6" i="8"/>
  <c r="L6" i="9" s="1"/>
  <c r="M11" i="8"/>
  <c r="L11" i="9" s="1"/>
  <c r="P18" i="6"/>
  <c r="Q18" i="6"/>
  <c r="T18" i="6" s="1"/>
  <c r="I18" i="6"/>
  <c r="N18" i="6"/>
  <c r="Q19" i="6"/>
  <c r="T19" i="6" s="1"/>
  <c r="I19" i="6"/>
  <c r="N19" i="6"/>
  <c r="P19" i="6"/>
  <c r="I11" i="6"/>
  <c r="P4" i="6"/>
  <c r="I10" i="6"/>
  <c r="I17" i="6"/>
  <c r="Q4" i="6"/>
  <c r="T4" i="6" s="1"/>
  <c r="I4" i="6"/>
  <c r="I13" i="6"/>
  <c r="I6" i="6"/>
  <c r="I8" i="6"/>
  <c r="I15" i="6"/>
  <c r="I12" i="6"/>
  <c r="N15" i="6"/>
  <c r="P15" i="6"/>
  <c r="Q15" i="6"/>
  <c r="T15" i="6" s="1"/>
  <c r="N16" i="6"/>
  <c r="Q16" i="6"/>
  <c r="T16" i="6" s="1"/>
  <c r="P16" i="6"/>
  <c r="N7" i="6"/>
  <c r="P7" i="6"/>
  <c r="Q7" i="6"/>
  <c r="T7" i="6" s="1"/>
  <c r="Q14" i="6"/>
  <c r="T14" i="6" s="1"/>
  <c r="N14" i="6"/>
  <c r="P14" i="6"/>
  <c r="I16" i="6"/>
  <c r="P6" i="6"/>
  <c r="Q6" i="6"/>
  <c r="T6" i="6" s="1"/>
  <c r="N6" i="6"/>
  <c r="I7" i="6"/>
  <c r="P10" i="6"/>
  <c r="Q10" i="6"/>
  <c r="T10" i="6" s="1"/>
  <c r="N10" i="6"/>
  <c r="N17" i="6"/>
  <c r="Q17" i="6"/>
  <c r="T17" i="6" s="1"/>
  <c r="P17" i="6"/>
  <c r="Q9" i="6"/>
  <c r="T9" i="6" s="1"/>
  <c r="N9" i="6"/>
  <c r="P9" i="6"/>
  <c r="N12" i="6"/>
  <c r="P12" i="6"/>
  <c r="Q12" i="6"/>
  <c r="T12" i="6" s="1"/>
  <c r="N11" i="6"/>
  <c r="Q11" i="6"/>
  <c r="T11" i="6" s="1"/>
  <c r="P11" i="6"/>
  <c r="I9" i="6"/>
  <c r="Q8" i="6"/>
  <c r="T8" i="6" s="1"/>
  <c r="N8" i="6"/>
  <c r="P8" i="6"/>
  <c r="Q13" i="6"/>
  <c r="T13" i="6" s="1"/>
  <c r="P13" i="6"/>
  <c r="N13" i="6"/>
  <c r="I14" i="6"/>
  <c r="P5" i="6"/>
  <c r="Q5" i="6"/>
  <c r="T5" i="6" s="1"/>
  <c r="N5" i="6"/>
  <c r="I5" i="6"/>
  <c r="N5" i="5"/>
  <c r="Z5" i="5" s="1"/>
  <c r="L5" i="5"/>
  <c r="L5" i="6" s="1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K5" i="4"/>
  <c r="K15" i="4"/>
  <c r="K16" i="4"/>
  <c r="K17" i="4"/>
  <c r="K18" i="4"/>
  <c r="K19" i="4"/>
  <c r="K20" i="4"/>
  <c r="K21" i="4"/>
  <c r="K22" i="4"/>
  <c r="K23" i="4"/>
  <c r="K6" i="4"/>
  <c r="K7" i="4"/>
  <c r="K8" i="4"/>
  <c r="K9" i="4"/>
  <c r="K10" i="4"/>
  <c r="K11" i="4"/>
  <c r="K12" i="4"/>
  <c r="K13" i="4"/>
  <c r="K14" i="4"/>
  <c r="K4" i="4"/>
  <c r="H15" i="9" l="1"/>
  <c r="H14" i="9"/>
  <c r="H5" i="9"/>
  <c r="L5" i="9" s="1"/>
  <c r="H4" i="9"/>
  <c r="N4" i="9" l="1"/>
  <c r="P4" i="9" s="1"/>
  <c r="M4" i="9"/>
  <c r="I4" i="9"/>
  <c r="F4" i="9"/>
  <c r="V4" i="9" s="1"/>
  <c r="L4" i="9"/>
  <c r="G4" i="9"/>
  <c r="G5" i="9"/>
  <c r="N5" i="9"/>
  <c r="F5" i="9"/>
  <c r="I5" i="9"/>
  <c r="M5" i="9"/>
  <c r="L14" i="9"/>
  <c r="M14" i="9"/>
  <c r="G14" i="9"/>
  <c r="N14" i="9"/>
  <c r="P14" i="9" s="1"/>
  <c r="I14" i="9"/>
  <c r="F14" i="9"/>
  <c r="V14" i="9" s="1"/>
  <c r="L15" i="9"/>
  <c r="M15" i="9"/>
  <c r="G15" i="9"/>
  <c r="I15" i="9"/>
  <c r="F15" i="9"/>
  <c r="V15" i="9" s="1"/>
  <c r="N15" i="9"/>
  <c r="O4" i="7" l="1"/>
  <c r="O5" i="7"/>
  <c r="O13" i="7"/>
  <c r="O16" i="7"/>
  <c r="O9" i="7"/>
  <c r="O15" i="7"/>
  <c r="O8" i="7"/>
  <c r="O17" i="7"/>
  <c r="V5" i="9"/>
  <c r="O10" i="7" s="1"/>
  <c r="Q14" i="9"/>
  <c r="J15" i="9"/>
  <c r="K15" i="9"/>
  <c r="Q15" i="9"/>
  <c r="P15" i="9"/>
  <c r="K5" i="9"/>
  <c r="J5" i="9"/>
  <c r="J4" i="9"/>
  <c r="K4" i="9"/>
  <c r="J14" i="9"/>
  <c r="K14" i="9"/>
  <c r="Q4" i="9"/>
  <c r="O12" i="7" l="1"/>
  <c r="O7" i="7"/>
  <c r="O11" i="7"/>
  <c r="O14" i="7"/>
  <c r="O18" i="7"/>
  <c r="O6" i="7"/>
  <c r="J14" i="15"/>
  <c r="J23" i="15"/>
  <c r="J32" i="15"/>
  <c r="J21" i="15"/>
  <c r="K7" i="15"/>
  <c r="J22" i="15"/>
  <c r="E25" i="15"/>
  <c r="F25" i="15" s="1"/>
  <c r="K5" i="15"/>
  <c r="J31" i="15"/>
  <c r="K11" i="15"/>
  <c r="E22" i="15"/>
  <c r="K22" i="15" s="1"/>
  <c r="J26" i="15"/>
  <c r="K27" i="15"/>
  <c r="K29" i="15"/>
  <c r="E4" i="15"/>
  <c r="J4" i="15" s="1"/>
  <c r="E8" i="15"/>
  <c r="F8" i="15" s="1"/>
  <c r="E30" i="15"/>
  <c r="F30" i="15" s="1"/>
  <c r="H30" i="15" s="1"/>
  <c r="K9" i="15"/>
  <c r="K4" i="15"/>
  <c r="E16" i="15"/>
  <c r="F16" i="15" s="1"/>
  <c r="K10" i="15"/>
  <c r="E13" i="15"/>
  <c r="F13" i="15" s="1"/>
  <c r="E12" i="15"/>
  <c r="I12" i="15" s="1"/>
  <c r="J15" i="15"/>
  <c r="E23" i="15"/>
  <c r="F23" i="15" s="1"/>
  <c r="G23" i="15" s="1"/>
  <c r="E24" i="15"/>
  <c r="I24" i="15" s="1"/>
  <c r="E9" i="15"/>
  <c r="F9" i="15" s="1"/>
  <c r="E7" i="15"/>
  <c r="I7" i="15" s="1"/>
  <c r="E32" i="15"/>
  <c r="I32" i="15" s="1"/>
  <c r="K13" i="15"/>
  <c r="J30" i="15"/>
  <c r="E28" i="15"/>
  <c r="K28" i="15" s="1"/>
  <c r="J17" i="15"/>
  <c r="E29" i="15"/>
  <c r="F29" i="15" s="1"/>
  <c r="H29" i="15" s="1"/>
  <c r="K25" i="15"/>
  <c r="E26" i="15"/>
  <c r="F26" i="15" s="1"/>
  <c r="G26" i="15" s="1"/>
  <c r="K16" i="15"/>
  <c r="E27" i="15"/>
  <c r="F27" i="15" s="1"/>
  <c r="H27" i="15" s="1"/>
  <c r="E31" i="15"/>
  <c r="I31" i="15" s="1"/>
  <c r="K8" i="15"/>
  <c r="E21" i="15"/>
  <c r="F21" i="15" s="1"/>
  <c r="E11" i="15"/>
  <c r="J11" i="15" s="1"/>
  <c r="E14" i="15"/>
  <c r="E10" i="15"/>
  <c r="J10" i="15" s="1"/>
  <c r="K12" i="15"/>
  <c r="E5" i="15"/>
  <c r="J5" i="15" s="1"/>
  <c r="K24" i="15"/>
  <c r="E17" i="15"/>
  <c r="I17" i="15" s="1"/>
  <c r="K6" i="15"/>
  <c r="E18" i="15"/>
  <c r="I18" i="15" s="1"/>
  <c r="E15" i="15"/>
  <c r="E19" i="15"/>
  <c r="F19" i="15" s="1"/>
  <c r="E6" i="15"/>
  <c r="F6" i="15" s="1"/>
  <c r="E20" i="15"/>
  <c r="J20" i="15" s="1"/>
  <c r="J28" i="15"/>
  <c r="K30" i="15" l="1"/>
  <c r="F14" i="15"/>
  <c r="K14" i="15"/>
  <c r="I30" i="15"/>
  <c r="J18" i="15"/>
  <c r="K20" i="15"/>
  <c r="L20" i="15" s="1"/>
  <c r="K19" i="15"/>
  <c r="I13" i="15"/>
  <c r="K32" i="15"/>
  <c r="L32" i="15" s="1"/>
  <c r="G8" i="15"/>
  <c r="J27" i="15"/>
  <c r="L27" i="15" s="1"/>
  <c r="H13" i="15"/>
  <c r="F32" i="15"/>
  <c r="J25" i="15"/>
  <c r="L25" i="15" s="1"/>
  <c r="G9" i="15"/>
  <c r="H21" i="15"/>
  <c r="G19" i="15"/>
  <c r="I23" i="15"/>
  <c r="I29" i="15"/>
  <c r="F22" i="15"/>
  <c r="H22" i="15" s="1"/>
  <c r="K26" i="15"/>
  <c r="L26" i="15" s="1"/>
  <c r="H6" i="15"/>
  <c r="J12" i="15"/>
  <c r="L12" i="15" s="1"/>
  <c r="I22" i="15"/>
  <c r="K18" i="15"/>
  <c r="F31" i="15"/>
  <c r="G31" i="15" s="1"/>
  <c r="F18" i="15"/>
  <c r="K31" i="15"/>
  <c r="L31" i="15" s="1"/>
  <c r="L5" i="15"/>
  <c r="I21" i="15"/>
  <c r="K21" i="15"/>
  <c r="L21" i="15" s="1"/>
  <c r="I15" i="15"/>
  <c r="F15" i="15"/>
  <c r="K17" i="15"/>
  <c r="L17" i="15" s="1"/>
  <c r="F17" i="15"/>
  <c r="I28" i="15"/>
  <c r="K23" i="15"/>
  <c r="L23" i="15" s="1"/>
  <c r="F28" i="15"/>
  <c r="H28" i="15" s="1"/>
  <c r="I26" i="15"/>
  <c r="J6" i="15"/>
  <c r="L6" i="15" s="1"/>
  <c r="F12" i="15"/>
  <c r="J24" i="15"/>
  <c r="L24" i="15" s="1"/>
  <c r="I25" i="15"/>
  <c r="I5" i="15"/>
  <c r="F5" i="15"/>
  <c r="F20" i="15"/>
  <c r="I20" i="15"/>
  <c r="F24" i="15"/>
  <c r="G24" i="15" s="1"/>
  <c r="F7" i="15"/>
  <c r="I11" i="15"/>
  <c r="I27" i="15"/>
  <c r="J29" i="15"/>
  <c r="L29" i="15" s="1"/>
  <c r="G25" i="15"/>
  <c r="H25" i="15"/>
  <c r="H16" i="15"/>
  <c r="G16" i="15"/>
  <c r="J16" i="15"/>
  <c r="L16" i="15" s="1"/>
  <c r="J9" i="15"/>
  <c r="L9" i="15" s="1"/>
  <c r="I16" i="15"/>
  <c r="J8" i="15"/>
  <c r="L8" i="15" s="1"/>
  <c r="I6" i="15"/>
  <c r="J7" i="15"/>
  <c r="L7" i="15" s="1"/>
  <c r="I9" i="15"/>
  <c r="I19" i="15"/>
  <c r="J13" i="15"/>
  <c r="L13" i="15" s="1"/>
  <c r="F11" i="15"/>
  <c r="J19" i="15"/>
  <c r="L19" i="15" s="1"/>
  <c r="I8" i="15"/>
  <c r="I10" i="15"/>
  <c r="F10" i="15"/>
  <c r="L4" i="15"/>
  <c r="L28" i="15"/>
  <c r="H23" i="15"/>
  <c r="H26" i="15"/>
  <c r="H9" i="15"/>
  <c r="L10" i="15"/>
  <c r="H19" i="15"/>
  <c r="L22" i="15"/>
  <c r="L11" i="15"/>
  <c r="G27" i="15"/>
  <c r="H8" i="15"/>
  <c r="L30" i="15"/>
  <c r="L14" i="15"/>
  <c r="I14" i="15"/>
  <c r="H14" i="15"/>
  <c r="G14" i="15"/>
  <c r="I4" i="15"/>
  <c r="G30" i="15"/>
  <c r="G6" i="15"/>
  <c r="F4" i="15"/>
  <c r="G13" i="15"/>
  <c r="G29" i="15"/>
  <c r="G21" i="15"/>
  <c r="M6" i="15" l="1"/>
  <c r="M24" i="15"/>
  <c r="M16" i="15"/>
  <c r="M4" i="15"/>
  <c r="M5" i="15"/>
  <c r="H18" i="15"/>
  <c r="G12" i="15"/>
  <c r="G17" i="15"/>
  <c r="H24" i="15"/>
  <c r="G32" i="15"/>
  <c r="L18" i="15"/>
  <c r="H31" i="15"/>
  <c r="G28" i="15"/>
  <c r="M8" i="15"/>
  <c r="H32" i="15"/>
  <c r="M13" i="15"/>
  <c r="M19" i="15"/>
  <c r="H5" i="15"/>
  <c r="M11" i="15"/>
  <c r="G22" i="15"/>
  <c r="M22" i="15"/>
  <c r="H5" i="11" s="1"/>
  <c r="J5" i="11" s="1"/>
  <c r="G20" i="15"/>
  <c r="M20" i="15"/>
  <c r="M14" i="15"/>
  <c r="H6" i="11" s="1"/>
  <c r="J6" i="11" s="1"/>
  <c r="M21" i="15"/>
  <c r="H8" i="11" s="1"/>
  <c r="J8" i="11" s="1"/>
  <c r="G7" i="15"/>
  <c r="M7" i="15"/>
  <c r="H17" i="15"/>
  <c r="M17" i="15"/>
  <c r="N6" i="8" s="1"/>
  <c r="G18" i="15"/>
  <c r="M18" i="15"/>
  <c r="M9" i="15"/>
  <c r="G15" i="15"/>
  <c r="G10" i="15"/>
  <c r="M10" i="15"/>
  <c r="H12" i="15"/>
  <c r="M12" i="15"/>
  <c r="M8" i="7" s="1"/>
  <c r="M30" i="15"/>
  <c r="H9" i="11" s="1"/>
  <c r="J9" i="11" s="1"/>
  <c r="H7" i="15"/>
  <c r="H15" i="15"/>
  <c r="G5" i="15"/>
  <c r="H20" i="15"/>
  <c r="H11" i="15"/>
  <c r="G11" i="15"/>
  <c r="H10" i="15"/>
  <c r="M23" i="15"/>
  <c r="N10" i="8" s="1"/>
  <c r="M25" i="15"/>
  <c r="H4" i="15"/>
  <c r="M26" i="15"/>
  <c r="H7" i="11" s="1"/>
  <c r="J7" i="11" s="1"/>
  <c r="G4" i="15"/>
  <c r="M27" i="15"/>
  <c r="M29" i="15"/>
  <c r="M28" i="15"/>
  <c r="N12" i="8" s="1"/>
  <c r="M32" i="15"/>
  <c r="H10" i="11" s="1"/>
  <c r="J10" i="11" s="1"/>
  <c r="M31" i="15"/>
  <c r="H11" i="11" s="1"/>
  <c r="J11" i="11" s="1"/>
  <c r="N13" i="8" l="1"/>
  <c r="N15" i="8"/>
  <c r="N7" i="8"/>
  <c r="N14" i="8"/>
  <c r="N11" i="8"/>
  <c r="N8" i="8"/>
  <c r="N9" i="8"/>
  <c r="H4" i="11"/>
  <c r="J4" i="11" s="1"/>
  <c r="N11" i="11"/>
  <c r="M11" i="11"/>
  <c r="K11" i="11"/>
  <c r="M9" i="11"/>
  <c r="K9" i="11"/>
  <c r="N9" i="11"/>
  <c r="N10" i="11"/>
  <c r="M10" i="11"/>
  <c r="K10" i="11"/>
  <c r="N6" i="11"/>
  <c r="K6" i="11"/>
  <c r="M6" i="11"/>
  <c r="N7" i="11"/>
  <c r="K7" i="11"/>
  <c r="M7" i="11"/>
  <c r="M8" i="11"/>
  <c r="K8" i="11"/>
  <c r="N8" i="11"/>
  <c r="K5" i="11"/>
  <c r="N5" i="11"/>
  <c r="M5" i="11"/>
  <c r="M6" i="7"/>
  <c r="M10" i="7"/>
  <c r="M14" i="7"/>
  <c r="M18" i="7"/>
  <c r="M13" i="7"/>
  <c r="M9" i="7"/>
  <c r="L4" i="7"/>
  <c r="M4" i="7" s="1"/>
  <c r="N4" i="8"/>
  <c r="M7" i="7"/>
  <c r="M17" i="7"/>
  <c r="M11" i="7"/>
  <c r="M16" i="7"/>
  <c r="K15" i="15"/>
  <c r="L15" i="15" s="1"/>
  <c r="M15" i="15" s="1"/>
  <c r="N5" i="8" s="1"/>
  <c r="P5" i="9"/>
  <c r="Q5" i="9"/>
  <c r="N4" i="11" l="1"/>
  <c r="M4" i="11"/>
  <c r="K4" i="11"/>
  <c r="M5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<sst xmlns="http://schemas.openxmlformats.org/spreadsheetml/2006/main" count="1251" uniqueCount="486">
  <si>
    <t>01_MASTER_MATERIAL  |  Warehouse Operations in a Heavy Equipment Manufacturing Environment</t>
  </si>
  <si>
    <t>Material Code</t>
  </si>
  <si>
    <t>Material Description</t>
  </si>
  <si>
    <t>Material Group</t>
  </si>
  <si>
    <t>Base UoM</t>
  </si>
  <si>
    <t>Purchase UoM</t>
  </si>
  <si>
    <t>Primary Supplier Code</t>
  </si>
  <si>
    <t>Standard Cost (per Base UoM)</t>
  </si>
  <si>
    <t>Criticality Flag</t>
  </si>
  <si>
    <t>Storage/Handling Class</t>
  </si>
  <si>
    <t>Min Stock Level</t>
  </si>
  <si>
    <t>Max Stock Level</t>
  </si>
  <si>
    <t>Lead Time (Days)</t>
  </si>
  <si>
    <t>Status</t>
  </si>
  <si>
    <t>MAT-00001</t>
  </si>
  <si>
    <t>Hydraulic Cylinder Seal Kit 80mm</t>
  </si>
  <si>
    <t>Hydraulic Components</t>
  </si>
  <si>
    <t>PCS</t>
  </si>
  <si>
    <t>Critical Spare</t>
  </si>
  <si>
    <t>Standard</t>
  </si>
  <si>
    <t>Active</t>
  </si>
  <si>
    <t>MAT-00002</t>
  </si>
  <si>
    <t>Steel Plate 10mm x 2m x 1m</t>
  </si>
  <si>
    <t>SUP-0005</t>
  </si>
  <si>
    <t>Heavy/Bulk</t>
  </si>
  <si>
    <t>MAT-00003</t>
  </si>
  <si>
    <t>Engine Oil Filter (Cat 320D)</t>
  </si>
  <si>
    <t>MAT-00004</t>
  </si>
  <si>
    <t>Hex Bolt M12x50 Grade 8.8</t>
  </si>
  <si>
    <t>Fasteners</t>
  </si>
  <si>
    <t>SUP-0009</t>
  </si>
  <si>
    <t>MAT-00005</t>
  </si>
  <si>
    <t>Industrial Degreaser 20L</t>
  </si>
  <si>
    <t>Consumables</t>
  </si>
  <si>
    <t>LTR</t>
  </si>
  <si>
    <t>Hazardous</t>
  </si>
  <si>
    <t>MAT-00006</t>
  </si>
  <si>
    <t>MAT-00007</t>
  </si>
  <si>
    <t>Air Filter Element - Primary</t>
  </si>
  <si>
    <t>MAT-00008</t>
  </si>
  <si>
    <t>Hydraulic Hose 1/2in x 3m</t>
  </si>
  <si>
    <t>MAT-00009</t>
  </si>
  <si>
    <t>Grease Cartridge NLGI2 400g</t>
  </si>
  <si>
    <t>MAT-00010</t>
  </si>
  <si>
    <t>Welding Electrode E7018 3.2mm</t>
  </si>
  <si>
    <t>KG</t>
  </si>
  <si>
    <t>MAT-00011</t>
  </si>
  <si>
    <t>Final Drive Motor (Excavator PC200)</t>
  </si>
  <si>
    <t>MAT-00012</t>
  </si>
  <si>
    <t>Bucket Teeth (CAT style)</t>
  </si>
  <si>
    <t>MAT-00013</t>
  </si>
  <si>
    <t>Radiator Coolant 20L</t>
  </si>
  <si>
    <t>MAT-00014</t>
  </si>
  <si>
    <t>Flat Washer M12 Zinc Plated</t>
  </si>
  <si>
    <t>MAT-00015</t>
  </si>
  <si>
    <t>Turbocharger Assembly (Cat C15)</t>
  </si>
  <si>
    <t>MAT-00016</t>
  </si>
  <si>
    <t>V-Belt A-Section 1250mm</t>
  </si>
  <si>
    <t>MAT-00017</t>
  </si>
  <si>
    <t>Steel I-Beam 6m Length</t>
  </si>
  <si>
    <t>MAT-00018</t>
  </si>
  <si>
    <t>Cabin Air Filter</t>
  </si>
  <si>
    <t>MAT-00019</t>
  </si>
  <si>
    <t>Bearing 6205-2RS</t>
  </si>
  <si>
    <t>MAT-00020</t>
  </si>
  <si>
    <t>Undercarriage Chain Link Assembly</t>
  </si>
  <si>
    <t>Inactive</t>
  </si>
  <si>
    <t>Notes / Data Dictionary</t>
  </si>
  <si>
    <t>- Material Code: Primary key. Format MAT-##### used consistently across all worksheets.</t>
  </si>
  <si>
    <t>- Criticality Flag: 'Critical Spare' = stockout risk causes production/machine downtime.</t>
  </si>
  <si>
    <t>- Status: Only 'Active' materials should be used in new transactions.</t>
  </si>
  <si>
    <t>02_MASTER_SUPPLIER  |  Warehouse Operations in a Heavy Equipment Manufacturing Environment</t>
  </si>
  <si>
    <t>Supplier Code</t>
  </si>
  <si>
    <t>Supplier Name</t>
  </si>
  <si>
    <t>Supplier Type</t>
  </si>
  <si>
    <t>Country</t>
  </si>
  <si>
    <t>Contact Person</t>
  </si>
  <si>
    <t>Contact Email</t>
  </si>
  <si>
    <t>Contact Phone</t>
  </si>
  <si>
    <t>Supplier Rating</t>
  </si>
  <si>
    <t>Indonesia</t>
  </si>
  <si>
    <t>021-5501234</t>
  </si>
  <si>
    <t>Preferred</t>
  </si>
  <si>
    <t>021-5502345</t>
  </si>
  <si>
    <t>Approved</t>
  </si>
  <si>
    <t>021-5503456</t>
  </si>
  <si>
    <t>021-5504567</t>
  </si>
  <si>
    <t>Singapore</t>
  </si>
  <si>
    <t>+65-6511-2233</t>
  </si>
  <si>
    <t>Japan</t>
  </si>
  <si>
    <t>+81-3-4455-6677</t>
  </si>
  <si>
    <t>SUP-0002</t>
  </si>
  <si>
    <t>022-6601122</t>
  </si>
  <si>
    <t>+65-6522-3344</t>
  </si>
  <si>
    <t>021-5507890</t>
  </si>
  <si>
    <t>021-5508901</t>
  </si>
  <si>
    <t>- Supplier Code: Primary key. Must match Primary Supplier Code values used in 01_Master_Material.</t>
  </si>
  <si>
    <t>- Assumption: Payment Terms, Tax ID, and Currency are out of scope (no Finance/AP worksheet exists).</t>
  </si>
  <si>
    <t>- Status: Only 'Active' suppliers should be selectable when creating a new Purchase Order.</t>
  </si>
  <si>
    <t>03_MASTER_LOCATION  |  Warehouse Operations in a Heavy Equipment Manufacturing Environment</t>
  </si>
  <si>
    <t>Location Code</t>
  </si>
  <si>
    <t>Location Description</t>
  </si>
  <si>
    <t>Zone</t>
  </si>
  <si>
    <t>Storage/Handling Requirement</t>
  </si>
  <si>
    <t>Pickable Flag</t>
  </si>
  <si>
    <t>Capacity (Max Qty)</t>
  </si>
  <si>
    <t>Receiving</t>
  </si>
  <si>
    <t>No</t>
  </si>
  <si>
    <t>Storage</t>
  </si>
  <si>
    <t>Yes</t>
  </si>
  <si>
    <t>Quarantine/QC Hold</t>
  </si>
  <si>
    <t>Shipping/Staging</t>
  </si>
  <si>
    <t>- Zone: Functional workflow stage. Only 'Storage' zone locations are expected to be Pickable = Yes.</t>
  </si>
  <si>
    <t>- Storage/Handling Requirement: Uses the same value list as Storage/Handling Class in 01_Master_Material.</t>
  </si>
  <si>
    <t>- Capacity (Max Qty): Denominator for the Dashboard's warehouse utilization KPI.</t>
  </si>
  <si>
    <t>04_PURCHASE_ORDER  |  Warehouse Operations in a Heavy Equipment Manufacturing Environment</t>
  </si>
  <si>
    <t>PO Number</t>
  </si>
  <si>
    <t>PO Line</t>
  </si>
  <si>
    <t>PO Date</t>
  </si>
  <si>
    <t>Unit Price</t>
  </si>
  <si>
    <t>Line Total</t>
  </si>
  <si>
    <t>Order Priority</t>
  </si>
  <si>
    <t>Expected Delivery Date</t>
  </si>
  <si>
    <t>PO Status</t>
  </si>
  <si>
    <t>Remarks</t>
  </si>
  <si>
    <t>PO Line Key (Helper)</t>
  </si>
  <si>
    <t>PO-2026-0001</t>
  </si>
  <si>
    <t>PO-2026-0002</t>
  </si>
  <si>
    <t>Urgent</t>
  </si>
  <si>
    <t>PO-2026-0003</t>
  </si>
  <si>
    <t>PO-2026-0004</t>
  </si>
  <si>
    <t>PO-2026-0005</t>
  </si>
  <si>
    <t>05_GOODS_RECEIPT  |  Warehouse Operations in a Heavy Equipment Manufacturing Environment</t>
  </si>
  <si>
    <t>GR Number</t>
  </si>
  <si>
    <t>GR Line</t>
  </si>
  <si>
    <t>GR Date</t>
  </si>
  <si>
    <t>Inspection Result</t>
  </si>
  <si>
    <t>Rejection Reason</t>
  </si>
  <si>
    <t>Batch/Lot Number</t>
  </si>
  <si>
    <t>GR Line Key (Helper)</t>
  </si>
  <si>
    <t>GR-2026-0001</t>
  </si>
  <si>
    <t>N/A</t>
  </si>
  <si>
    <t>Damaged in Transit</t>
  </si>
  <si>
    <t>GR-2026-0002</t>
  </si>
  <si>
    <t>GR-2026-0003</t>
  </si>
  <si>
    <t>GR-2026-0004</t>
  </si>
  <si>
    <t>06_PUT_AWAY  |  Warehouse Operations in a Heavy Equipment Manufacturing Environment</t>
  </si>
  <si>
    <t>Base UoM (Ref)</t>
  </si>
  <si>
    <t>Location Match Check</t>
  </si>
  <si>
    <t>Put-Away Line Key (Helper)</t>
  </si>
  <si>
    <t>PA-2026-0001</t>
  </si>
  <si>
    <t>PA-2026-0002</t>
  </si>
  <si>
    <t>PA-2026-0003</t>
  </si>
  <si>
    <t>PA-2026-0004</t>
  </si>
  <si>
    <t>Request Number</t>
  </si>
  <si>
    <t>Request Line</t>
  </si>
  <si>
    <t>Request Date</t>
  </si>
  <si>
    <t>Requesting Department</t>
  </si>
  <si>
    <t>Quantity Requested</t>
  </si>
  <si>
    <t>Request Priority</t>
  </si>
  <si>
    <t>Required Date</t>
  </si>
  <si>
    <t>Total Issued (Ref)</t>
  </si>
  <si>
    <t>Stock Sufficiency Check</t>
  </si>
  <si>
    <t>Request Status</t>
  </si>
  <si>
    <t>Request Line Key (Helper)</t>
  </si>
  <si>
    <t>MR-2026-0001</t>
  </si>
  <si>
    <t>Production</t>
  </si>
  <si>
    <t>Routine</t>
  </si>
  <si>
    <t>Open</t>
  </si>
  <si>
    <t>MR-2026-0002</t>
  </si>
  <si>
    <t>Maintenance</t>
  </si>
  <si>
    <t>MR-2026-0003</t>
  </si>
  <si>
    <t>MR-2026-0004</t>
  </si>
  <si>
    <t>08_PICKING_LIST  |  Warehouse Operations in a Heavy Equipment Manufacturing Environment</t>
  </si>
  <si>
    <t>Pick Number</t>
  </si>
  <si>
    <t>Pick Line</t>
  </si>
  <si>
    <t>Pick Date</t>
  </si>
  <si>
    <t>Requesting Department (Ref)</t>
  </si>
  <si>
    <t>Request Priority (Ref)</t>
  </si>
  <si>
    <t>Quantity Requested (Ref)</t>
  </si>
  <si>
    <t>Quantity Picked</t>
  </si>
  <si>
    <t>Pick Status</t>
  </si>
  <si>
    <t>Pick Line Key (Helper)</t>
  </si>
  <si>
    <t>PL-2026-0001</t>
  </si>
  <si>
    <t>PL-2026-0002</t>
  </si>
  <si>
    <t>PL-2026-0003</t>
  </si>
  <si>
    <t>PL-2026-0004</t>
  </si>
  <si>
    <t>09_GOODS_ISSUE  |  Warehouse Operations in a Heavy Equipment Manufacturing Environment</t>
  </si>
  <si>
    <t>GI Number</t>
  </si>
  <si>
    <t>GI Line</t>
  </si>
  <si>
    <t>GI Date</t>
  </si>
  <si>
    <t>Issuing Location (Ref)</t>
  </si>
  <si>
    <t>Quantity Picked (Ref)</t>
  </si>
  <si>
    <t>Quantity Issued</t>
  </si>
  <si>
    <t>Issue Variance</t>
  </si>
  <si>
    <t>GI Line Key (Helper)</t>
  </si>
  <si>
    <t>GI-2026-0001</t>
  </si>
  <si>
    <t>GI-2026-0002</t>
  </si>
  <si>
    <t>GI-2026-0003</t>
  </si>
  <si>
    <t>GI-2026-0004</t>
  </si>
  <si>
    <t>Transaction Date</t>
  </si>
  <si>
    <t>Transaction Type</t>
  </si>
  <si>
    <t>Reference Number</t>
  </si>
  <si>
    <t>Reference Line</t>
  </si>
  <si>
    <t>Reference Key (Helper)</t>
  </si>
  <si>
    <t>Location (Ref)</t>
  </si>
  <si>
    <t>Quantity In</t>
  </si>
  <si>
    <t>Quantity Out</t>
  </si>
  <si>
    <t>Net Movement</t>
  </si>
  <si>
    <t>Running Balance (Qty)</t>
  </si>
  <si>
    <t>Unit Cost (Ref)</t>
  </si>
  <si>
    <t>Location inherited from Put-Away mismatch (HAZ-C-01) - see 06_Put_Away notes</t>
  </si>
  <si>
    <t>11_CYCLE_COUNT  |  Warehouse Operations in a Heavy Equipment Manufacturing Environment</t>
  </si>
  <si>
    <t>Count Number</t>
  </si>
  <si>
    <t>Count Line</t>
  </si>
  <si>
    <t>Count Date</t>
  </si>
  <si>
    <t>Physical Count</t>
  </si>
  <si>
    <t>Variance (Qty)</t>
  </si>
  <si>
    <t>Variance %</t>
  </si>
  <si>
    <t>Variance Value</t>
  </si>
  <si>
    <t>Count Result</t>
  </si>
  <si>
    <t>Root Cause</t>
  </si>
  <si>
    <t>Adjustment Status</t>
  </si>
  <si>
    <t>CC-2026-0001</t>
  </si>
  <si>
    <t>No Adjustment Needed</t>
  </si>
  <si>
    <t>CC-2026-0002</t>
  </si>
  <si>
    <t>Miscount</t>
  </si>
  <si>
    <t>Adjusted</t>
  </si>
  <si>
    <t>Location Mismatch</t>
  </si>
  <si>
    <t>Under Investigation</t>
  </si>
  <si>
    <t>CC-2026-0003</t>
  </si>
  <si>
    <t>Default Storage Location</t>
  </si>
  <si>
    <t>Track Roller Assembly</t>
  </si>
  <si>
    <t>Raw Materials</t>
  </si>
  <si>
    <t>Filters</t>
  </si>
  <si>
    <t>Undercarriage Components</t>
  </si>
  <si>
    <t>Lubricants &amp; Fluids</t>
  </si>
  <si>
    <t>Engine Components</t>
  </si>
  <si>
    <t>A-01-01-01</t>
  </si>
  <si>
    <t>A-02-01-01</t>
  </si>
  <si>
    <t>D-01-01-01</t>
  </si>
  <si>
    <t>D-02-01-01</t>
  </si>
  <si>
    <t>B-01-01-01</t>
  </si>
  <si>
    <t>A-02-01-02</t>
  </si>
  <si>
    <t>A-01-02-01</t>
  </si>
  <si>
    <t>D-02-01-02</t>
  </si>
  <si>
    <t>B-01-02-01</t>
  </si>
  <si>
    <t>B-02-01-01</t>
  </si>
  <si>
    <t>D-01-01-02</t>
  </si>
  <si>
    <t>A-01-03-01</t>
  </si>
  <si>
    <t>A-01-03-02</t>
  </si>
  <si>
    <t>A-02-01-03</t>
  </si>
  <si>
    <t>A-01-02-02</t>
  </si>
  <si>
    <t>B-02-02-01</t>
  </si>
  <si>
    <t>SUP-0001</t>
  </si>
  <si>
    <t>SUP-0003</t>
  </si>
  <si>
    <t>SUP-0004</t>
  </si>
  <si>
    <t>SUP-0006</t>
  </si>
  <si>
    <t>SUP-0007</t>
  </si>
  <si>
    <t>SUP-0008</t>
  </si>
  <si>
    <t>SUP-0010</t>
  </si>
  <si>
    <t>Local Distributor</t>
  </si>
  <si>
    <t>PT Industrial Steel Supply</t>
  </si>
  <si>
    <t>Procurement Team</t>
  </si>
  <si>
    <t>sales@industrialsteel.co.id</t>
  </si>
  <si>
    <t>PT Precision Fastener Indonesia</t>
  </si>
  <si>
    <t>Sales Representative</t>
  </si>
  <si>
    <t>sales@precisionfastener.co.id</t>
  </si>
  <si>
    <t>PT Heavy Equipment Parts Indonesia</t>
  </si>
  <si>
    <t>Authorized Distributor</t>
  </si>
  <si>
    <t>Account Manager</t>
  </si>
  <si>
    <t>sales@heparts.co.id</t>
  </si>
  <si>
    <t>PT Industrial Lubricants Indonesia</t>
  </si>
  <si>
    <t>sales@indlube.co.id</t>
  </si>
  <si>
    <t>Global Engine Components Pte Ltd</t>
  </si>
  <si>
    <t>Regional Sales Manager</t>
  </si>
  <si>
    <t>sales@gecomponents.sg</t>
  </si>
  <si>
    <t>OEM Heavy Parts Corporation</t>
  </si>
  <si>
    <t>Manufacturer</t>
  </si>
  <si>
    <t>Export Sales Team</t>
  </si>
  <si>
    <t>export@oemparts.jp</t>
  </si>
  <si>
    <t>Global Hydraulic Solutions Pte Ltd</t>
  </si>
  <si>
    <t>sales@ghsolutions.sg</t>
  </si>
  <si>
    <t>PT Industrial Consumables Indonesia</t>
  </si>
  <si>
    <t>sales@indconsumables.co.id</t>
  </si>
  <si>
    <t>PT Metal Processing Supply</t>
  </si>
  <si>
    <t>sales@metalprocessing.co.id</t>
  </si>
  <si>
    <t>Location Type</t>
  </si>
  <si>
    <t>Standard Rack</t>
  </si>
  <si>
    <t>A-01-01-02</t>
  </si>
  <si>
    <t>Heavy Duty Rack</t>
  </si>
  <si>
    <t>Consumables Rack</t>
  </si>
  <si>
    <t>Chemical Storage</t>
  </si>
  <si>
    <t>Receiving Dock</t>
  </si>
  <si>
    <t>Staging Area</t>
  </si>
  <si>
    <t>Quarantine Area</t>
  </si>
  <si>
    <t>Received Qty</t>
  </si>
  <si>
    <t>Outstanding Qty</t>
  </si>
  <si>
    <t>Ordered Qty</t>
  </si>
  <si>
    <t>PT Multi Industrial Trading</t>
  </si>
  <si>
    <t>Industrial Trading Company</t>
  </si>
  <si>
    <t>sales@mit.co.id</t>
  </si>
  <si>
    <t>PO-2026-0006</t>
  </si>
  <si>
    <t>PO-2026-0007</t>
  </si>
  <si>
    <t>PO-2026-0008</t>
  </si>
  <si>
    <t>PO-2026-0009</t>
  </si>
  <si>
    <t>PO-2026-0010</t>
  </si>
  <si>
    <t>Project A</t>
  </si>
  <si>
    <t>Preventive Maintenance</t>
  </si>
  <si>
    <t>Customer Order</t>
  </si>
  <si>
    <t>Trial Order</t>
  </si>
  <si>
    <t>Order Qty</t>
  </si>
  <si>
    <t>Received Variance</t>
  </si>
  <si>
    <t>Delivery Note No.</t>
  </si>
  <si>
    <t>Received By</t>
  </si>
  <si>
    <t>Received Variance %</t>
  </si>
  <si>
    <t>DN-260815-001</t>
  </si>
  <si>
    <t>Andi</t>
  </si>
  <si>
    <t>Budi</t>
  </si>
  <si>
    <t>DN-260819-001</t>
  </si>
  <si>
    <t>Rizky</t>
  </si>
  <si>
    <t>GR-2026-0005</t>
  </si>
  <si>
    <t>Fajar</t>
  </si>
  <si>
    <t>GR-2026-0006</t>
  </si>
  <si>
    <t>DN-260825-001</t>
  </si>
  <si>
    <t>LOT-HYD-260815</t>
  </si>
  <si>
    <t>LOT-BRG-260815</t>
  </si>
  <si>
    <t>DN-260810-001</t>
  </si>
  <si>
    <t>LOT-FLT-260810</t>
  </si>
  <si>
    <t>LOT-STEEL-260830</t>
  </si>
  <si>
    <t>Supplier delivered late</t>
  </si>
  <si>
    <t>LOT-BOLT-260830</t>
  </si>
  <si>
    <t>DN-260817-001</t>
  </si>
  <si>
    <t>LOT-FST-260817</t>
  </si>
  <si>
    <t>DN-260815-002</t>
  </si>
  <si>
    <t>LOT-LUB-260815</t>
  </si>
  <si>
    <t>GR-2026-0007</t>
  </si>
  <si>
    <t>LOT-CHM-260817</t>
  </si>
  <si>
    <t>Two containers damaged during transit</t>
  </si>
  <si>
    <t>LOT-FLT-260819</t>
  </si>
  <si>
    <t>GR-2026-0008</t>
  </si>
  <si>
    <t>DN-260908-001</t>
  </si>
  <si>
    <t>LOT-STL-260908</t>
  </si>
  <si>
    <t>GR-2026-0010</t>
  </si>
  <si>
    <t>LOT-WLD-260825</t>
  </si>
  <si>
    <t>GR-2026-0009</t>
  </si>
  <si>
    <t>Delivery Status</t>
  </si>
  <si>
    <t>C-01-01</t>
  </si>
  <si>
    <t>C-01-02</t>
  </si>
  <si>
    <t>Zone C - Bulk Storage Position 01</t>
  </si>
  <si>
    <t>Zone C - Bulk Storage Position 02</t>
  </si>
  <si>
    <t>Zone A - Rack 01 Level 01 Bin 01</t>
  </si>
  <si>
    <t>Zone A - Rack 01 Level 01 Bin 02</t>
  </si>
  <si>
    <t>Zone A - Rack 01 Level 02 Bin 01</t>
  </si>
  <si>
    <t>Zone A - Rack 01 Level 02 Bin 02</t>
  </si>
  <si>
    <t>Zone A - Rack 01 Level 03 Bin 01</t>
  </si>
  <si>
    <t>Zone A - Rack 01 Level 03 Bin 02</t>
  </si>
  <si>
    <t>Zone B - Rack 01 Level 01 Bin 02</t>
  </si>
  <si>
    <t>Zone B - Rack 01 Level 02 Bin 01</t>
  </si>
  <si>
    <t>E-01</t>
  </si>
  <si>
    <t>Zone E - Receiving Dock 01</t>
  </si>
  <si>
    <t>Zone E - Receiving Dock 02</t>
  </si>
  <si>
    <t>E-02</t>
  </si>
  <si>
    <t>F-01</t>
  </si>
  <si>
    <t>G-01</t>
  </si>
  <si>
    <t>Zone D - Chemical Cabinet Bin 01</t>
  </si>
  <si>
    <t>Zone D - Chemical Cabinet Bin 02</t>
  </si>
  <si>
    <t>Zone D - Consumables Rack 01 Level 01 Bin 01</t>
  </si>
  <si>
    <t>Zone D - Consumables Rack 01 Level 01 Bin 02</t>
  </si>
  <si>
    <t>Zone F - Shipping Staging Area 01</t>
  </si>
  <si>
    <t>Zone G - QC Hold Area 01</t>
  </si>
  <si>
    <t>Accepted Qty</t>
  </si>
  <si>
    <t>Rejected Qty</t>
  </si>
  <si>
    <t>Location Storage/Handling Requirement</t>
  </si>
  <si>
    <t>Put Away Number</t>
  </si>
  <si>
    <t>Put Away Line</t>
  </si>
  <si>
    <t>Put Away Date</t>
  </si>
  <si>
    <t>From Location</t>
  </si>
  <si>
    <t>To Location</t>
  </si>
  <si>
    <t>Put Away Status</t>
  </si>
  <si>
    <t>Put Away Qty</t>
  </si>
  <si>
    <t>PA-2026-0005</t>
  </si>
  <si>
    <t>PA-2026-0006</t>
  </si>
  <si>
    <t>PA-2026-0007</t>
  </si>
  <si>
    <t>PA-2026-0008</t>
  </si>
  <si>
    <t>PA-2026-0009</t>
  </si>
  <si>
    <t>Bulk Storage</t>
  </si>
  <si>
    <t>B-01-01-02</t>
  </si>
  <si>
    <t>Zone B - Rack 01 Level 01 Bin 01</t>
  </si>
  <si>
    <t>Zone B - Rack 02 Level 01 Bin 01</t>
  </si>
  <si>
    <t>Zone B - Rack 02 Level 02 Bin 01</t>
  </si>
  <si>
    <t>Zone A - Rack 02 Level 01 Bin 02</t>
  </si>
  <si>
    <t>Zone A - Rack 02 Level 01 Bin 01</t>
  </si>
  <si>
    <t>Zone A - Rack 02 Level 01 Bin 03</t>
  </si>
  <si>
    <t>Suggested Storage Location (Ref)</t>
  </si>
  <si>
    <t>Remaining quantity awaiting forklift availability</t>
  </si>
  <si>
    <t>Available Stock (Ref)</t>
  </si>
  <si>
    <t>Requester</t>
  </si>
  <si>
    <t>Rejected</t>
  </si>
  <si>
    <t>Approval Status</t>
  </si>
  <si>
    <t>MR-2026-0005</t>
  </si>
  <si>
    <t>MR-2026-0006</t>
  </si>
  <si>
    <t>MR-2026-0007</t>
  </si>
  <si>
    <t>MR-2026-0008</t>
  </si>
  <si>
    <t>MR-2026-0009</t>
  </si>
  <si>
    <t>MR-2026-0010</t>
  </si>
  <si>
    <t>MR-2026-0011</t>
  </si>
  <si>
    <t>MR-2026-0012</t>
  </si>
  <si>
    <t>Assembly</t>
  </si>
  <si>
    <t>QC</t>
  </si>
  <si>
    <t>Pending</t>
  </si>
  <si>
    <t>Machine breakdown - urgent filter replacement</t>
  </si>
  <si>
    <t>Urgent material for production schedule</t>
  </si>
  <si>
    <t>Routine preventive maintenance</t>
  </si>
  <si>
    <t>Cancelled by requester</t>
  </si>
  <si>
    <t>Production backlog</t>
  </si>
  <si>
    <t>Awaiting approval</t>
  </si>
  <si>
    <t>Preventive maintenance</t>
  </si>
  <si>
    <t>Rina</t>
  </si>
  <si>
    <t>Dedi</t>
  </si>
  <si>
    <t>Siti</t>
  </si>
  <si>
    <t>Agung</t>
  </si>
  <si>
    <t>Bani</t>
  </si>
  <si>
    <t>Available Stock</t>
  </si>
  <si>
    <t>Picker</t>
  </si>
  <si>
    <t>Urgent maintenance request</t>
  </si>
  <si>
    <t>Production replenishment</t>
  </si>
  <si>
    <t>PL-2026-0005</t>
  </si>
  <si>
    <t>PL-2026-0006</t>
  </si>
  <si>
    <t>QC inspection material</t>
  </si>
  <si>
    <t>PL-2026-0007</t>
  </si>
  <si>
    <t>Production priority</t>
  </si>
  <si>
    <t>PL-2026-0008</t>
  </si>
  <si>
    <t>PL-2026-0009</t>
  </si>
  <si>
    <t>PL-2026-0010</t>
  </si>
  <si>
    <t>Dimas</t>
  </si>
  <si>
    <t>Issued By</t>
  </si>
  <si>
    <t>Issue Status</t>
  </si>
  <si>
    <t>Urgent maintenance request completed</t>
  </si>
  <si>
    <t>5 pcs reserved for quality verification before assembly</t>
  </si>
  <si>
    <t>GI-2026-0005</t>
  </si>
  <si>
    <t>GI-2026-0006</t>
  </si>
  <si>
    <t>GI-2026-0007</t>
  </si>
  <si>
    <t>GI-2026-0008</t>
  </si>
  <si>
    <t>GI-2026-0009</t>
  </si>
  <si>
    <t>GI-2026-0010</t>
  </si>
  <si>
    <t>07_MATERIAL_REQUEST  |  Warehouse Operations in a Heavy Equipment Manufacturing Environment</t>
  </si>
  <si>
    <t xml:space="preserve">Pick Location </t>
  </si>
  <si>
    <t>PO-2026-0011</t>
  </si>
  <si>
    <t>PO-2026-0012</t>
  </si>
  <si>
    <t>PO-2026-0013</t>
  </si>
  <si>
    <t>GR-2026-0011</t>
  </si>
  <si>
    <t>GR-2026-0012</t>
  </si>
  <si>
    <t>DN-260910-001</t>
  </si>
  <si>
    <t>DN-260918-001</t>
  </si>
  <si>
    <t>DN-260924-001</t>
  </si>
  <si>
    <t>LOT-TRB--260924</t>
  </si>
  <si>
    <t>LOT-ROLLR-260918</t>
  </si>
  <si>
    <t>LOT-TEETH-260910</t>
  </si>
  <si>
    <t>PA-2026-0010</t>
  </si>
  <si>
    <t>PA-2026-0011</t>
  </si>
  <si>
    <t>PA-2026-0012</t>
  </si>
  <si>
    <t>MR-2026-0013</t>
  </si>
  <si>
    <t>Rendy</t>
  </si>
  <si>
    <t>Supervisor rejected</t>
  </si>
  <si>
    <t>DN-260826-001</t>
  </si>
  <si>
    <t>MR</t>
  </si>
  <si>
    <t>Fulfilled</t>
  </si>
  <si>
    <t>10_STOCK_CARD  |  Warehouse Operations in a Heavy Equipment Manufacturing Environment</t>
  </si>
  <si>
    <t>- Location Code: Primary key, format ZONE-RACK-LEVEL-BIN. Foreign key used in Put-Away, Stock Card, and Cycle Count.</t>
  </si>
  <si>
    <t>D-02-01-03</t>
  </si>
  <si>
    <t>Zone D - Chemical Cabinet Bin 03</t>
  </si>
  <si>
    <t>System Qty (Ref)</t>
  </si>
  <si>
    <t>Count Location (Ref)</t>
  </si>
  <si>
    <t>Count By</t>
  </si>
  <si>
    <t>Verified By</t>
  </si>
  <si>
    <t>Count Line Key (Helper)</t>
  </si>
  <si>
    <t>ABC Classification</t>
  </si>
  <si>
    <t>A</t>
  </si>
  <si>
    <t>2 units shortage found during recount</t>
  </si>
  <si>
    <t>B</t>
  </si>
  <si>
    <t>1 unit shortage confirmed after recount</t>
  </si>
  <si>
    <t>CC-2026-0006</t>
  </si>
  <si>
    <t>2 units found in adjacent storage location</t>
  </si>
  <si>
    <t>Fikri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</si>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</sst>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yyyy\-mm\-dd"/>
    <numFmt numFmtId="165" formatCode="0.0%;\(0.0%\)"/>
    <numFmt numFmtId="166" formatCode="#,##0;\(#,##0\)"/>
    <numFmt numFmtId="167" formatCode="_-[$Rp-421]* #,##0_-;\-[$Rp-421]* #,##0_-;_-[$Rp-421]* &quot;-&quot;??_-;_-@_-"/>
    <numFmt numFmtId="168" formatCode="_-[$Rp-421]* #,##0_-;\-[$Rp-421]* #,##0_-;_-[$Rp-421]* &quot;-&quot;_-;_-@_-"/>
    <numFmt numFmtId="169" formatCode="yyyy/mm/dd"/>
    <numFmt numFmtId="170" formatCode="\+#,##0_);\-#,##0"/>
    <numFmt numFmtId="171" formatCode="0_);[Red]\(\-0\)"/>
    <numFmt numFmtId="172" formatCode="#,##0;[Red]\(\-#,##0\)"/>
    <numFmt numFmtId="173" formatCode="#,##0;[Red]\(#,##0\)"/>
    <numFmt numFmtId="174" formatCode="[$Rp-421]#,##0;[Red]\-[$Rp-421]#,##0"/>
  </numFmts>
  <fonts count="2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10"/>
      <color rgb="FF000000"/>
      <name val="Arial"/>
      <family val="2"/>
    </font>
    <font>
      <i/>
      <sz val="10"/>
      <color rgb="FF7F7F7F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10"/>
      <color theme="0" tint="-0.499984740745262"/>
      <name val="Arial"/>
      <family val="2"/>
    </font>
    <font>
      <i/>
      <sz val="10"/>
      <color rgb="FF0000FF"/>
      <name val="Arial"/>
      <family val="2"/>
    </font>
    <font>
      <sz val="11"/>
      <color rgb="FF0000FF"/>
      <name val="Calibri"/>
      <family val="2"/>
      <charset val="1"/>
    </font>
    <font>
      <sz val="10"/>
      <color theme="1"/>
      <name val="Arial"/>
      <family val="2"/>
    </font>
    <font>
      <i/>
      <sz val="10"/>
      <color rgb="FF008000"/>
      <name val="Arial"/>
      <family val="2"/>
    </font>
    <font>
      <sz val="11"/>
      <color theme="1"/>
      <name val="Arial"/>
      <family val="2"/>
    </font>
    <font>
      <sz val="10"/>
      <color theme="0" tint="-0.34998626667073579"/>
      <name val="Arial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4472C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1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/>
    </xf>
    <xf numFmtId="3" fontId="3" fillId="0" borderId="1" xfId="0" applyNumberFormat="1" applyFont="1" applyBorder="1" applyAlignment="1">
      <alignment horizontal="right"/>
    </xf>
    <xf numFmtId="0" fontId="4" fillId="0" borderId="0" xfId="0" applyFont="1"/>
    <xf numFmtId="0" fontId="5" fillId="0" borderId="0" xfId="0" applyFont="1"/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3" fontId="6" fillId="0" borderId="1" xfId="0" applyNumberFormat="1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65" fontId="8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right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left"/>
    </xf>
    <xf numFmtId="4" fontId="7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right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horizontal="right" vertical="center" wrapText="1"/>
    </xf>
    <xf numFmtId="167" fontId="3" fillId="0" borderId="1" xfId="0" applyNumberFormat="1" applyFont="1" applyBorder="1" applyAlignment="1">
      <alignment horizontal="right"/>
    </xf>
    <xf numFmtId="0" fontId="11" fillId="0" borderId="0" xfId="0" applyFont="1" applyAlignment="1">
      <alignment vertical="center" wrapText="1"/>
    </xf>
    <xf numFmtId="0" fontId="12" fillId="0" borderId="0" xfId="1" applyAlignment="1">
      <alignment vertical="center" wrapText="1"/>
    </xf>
    <xf numFmtId="0" fontId="0" fillId="0" borderId="0" xfId="0" applyAlignment="1">
      <alignment horizontal="right" vertical="center" wrapText="1"/>
    </xf>
    <xf numFmtId="14" fontId="0" fillId="0" borderId="0" xfId="0" applyNumberFormat="1" applyAlignment="1">
      <alignment vertical="center" wrapText="1"/>
    </xf>
    <xf numFmtId="164" fontId="0" fillId="0" borderId="0" xfId="0" applyNumberFormat="1"/>
    <xf numFmtId="168" fontId="2" fillId="3" borderId="1" xfId="0" applyNumberFormat="1" applyFont="1" applyFill="1" applyBorder="1" applyAlignment="1">
      <alignment horizontal="center" vertical="center" wrapText="1"/>
    </xf>
    <xf numFmtId="168" fontId="8" fillId="0" borderId="1" xfId="0" applyNumberFormat="1" applyFont="1" applyBorder="1" applyAlignment="1">
      <alignment horizontal="left"/>
    </xf>
    <xf numFmtId="168" fontId="0" fillId="0" borderId="0" xfId="0" applyNumberFormat="1" applyAlignment="1">
      <alignment horizontal="left"/>
    </xf>
    <xf numFmtId="168" fontId="6" fillId="0" borderId="1" xfId="0" applyNumberFormat="1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left"/>
    </xf>
    <xf numFmtId="0" fontId="7" fillId="0" borderId="1" xfId="0" applyFont="1" applyBorder="1" applyAlignment="1">
      <alignment horizontal="right"/>
    </xf>
    <xf numFmtId="0" fontId="13" fillId="0" borderId="1" xfId="0" applyFont="1" applyBorder="1" applyAlignment="1">
      <alignment horizontal="right"/>
    </xf>
    <xf numFmtId="3" fontId="13" fillId="0" borderId="1" xfId="0" applyNumberFormat="1" applyFont="1" applyBorder="1" applyAlignment="1">
      <alignment horizontal="right"/>
    </xf>
    <xf numFmtId="0" fontId="6" fillId="0" borderId="0" xfId="0" applyFont="1" applyBorder="1" applyAlignment="1">
      <alignment horizontal="left"/>
    </xf>
    <xf numFmtId="0" fontId="6" fillId="0" borderId="0" xfId="0" applyFont="1" applyBorder="1" applyAlignment="1">
      <alignment horizontal="right"/>
    </xf>
    <xf numFmtId="164" fontId="6" fillId="0" borderId="0" xfId="0" applyNumberFormat="1" applyFont="1" applyBorder="1" applyAlignment="1">
      <alignment horizontal="right"/>
    </xf>
    <xf numFmtId="0" fontId="13" fillId="0" borderId="0" xfId="0" applyFont="1" applyBorder="1" applyAlignment="1">
      <alignment horizontal="right"/>
    </xf>
    <xf numFmtId="0" fontId="7" fillId="0" borderId="0" xfId="0" applyFont="1" applyBorder="1" applyAlignment="1">
      <alignment horizontal="right"/>
    </xf>
    <xf numFmtId="0" fontId="7" fillId="0" borderId="0" xfId="0" applyFont="1" applyBorder="1" applyAlignment="1">
      <alignment horizontal="left"/>
    </xf>
    <xf numFmtId="3" fontId="7" fillId="0" borderId="0" xfId="0" applyNumberFormat="1" applyFont="1" applyBorder="1" applyAlignment="1">
      <alignment horizontal="right"/>
    </xf>
    <xf numFmtId="4" fontId="7" fillId="0" borderId="0" xfId="0" applyNumberFormat="1" applyFont="1" applyBorder="1" applyAlignment="1">
      <alignment horizontal="right"/>
    </xf>
    <xf numFmtId="164" fontId="7" fillId="0" borderId="0" xfId="0" applyNumberFormat="1" applyFont="1" applyBorder="1" applyAlignment="1">
      <alignment horizontal="right"/>
    </xf>
    <xf numFmtId="164" fontId="6" fillId="0" borderId="0" xfId="0" applyNumberFormat="1" applyFont="1" applyBorder="1" applyAlignment="1">
      <alignment horizontal="left"/>
    </xf>
    <xf numFmtId="3" fontId="6" fillId="0" borderId="0" xfId="0" applyNumberFormat="1" applyFont="1" applyBorder="1" applyAlignment="1">
      <alignment horizontal="right"/>
    </xf>
    <xf numFmtId="3" fontId="8" fillId="0" borderId="0" xfId="0" applyNumberFormat="1" applyFont="1" applyBorder="1" applyAlignment="1">
      <alignment horizontal="right"/>
    </xf>
    <xf numFmtId="0" fontId="8" fillId="0" borderId="0" xfId="0" applyFont="1" applyBorder="1" applyAlignment="1">
      <alignment horizontal="center"/>
    </xf>
    <xf numFmtId="166" fontId="8" fillId="0" borderId="0" xfId="0" applyNumberFormat="1" applyFont="1" applyBorder="1" applyAlignment="1">
      <alignment horizontal="right"/>
    </xf>
    <xf numFmtId="165" fontId="8" fillId="0" borderId="0" xfId="0" applyNumberFormat="1" applyFont="1" applyBorder="1" applyAlignment="1">
      <alignment horizontal="right"/>
    </xf>
    <xf numFmtId="0" fontId="7" fillId="0" borderId="0" xfId="0" applyFont="1" applyBorder="1" applyAlignment="1">
      <alignment horizontal="center"/>
    </xf>
    <xf numFmtId="0" fontId="9" fillId="0" borderId="0" xfId="0" applyFont="1" applyBorder="1" applyAlignment="1">
      <alignment horizontal="left"/>
    </xf>
    <xf numFmtId="168" fontId="6" fillId="0" borderId="0" xfId="0" applyNumberFormat="1" applyFont="1" applyBorder="1" applyAlignment="1">
      <alignment horizontal="left" vertical="center"/>
    </xf>
    <xf numFmtId="168" fontId="8" fillId="0" borderId="0" xfId="0" applyNumberFormat="1" applyFont="1" applyBorder="1" applyAlignment="1">
      <alignment horizontal="left"/>
    </xf>
    <xf numFmtId="0" fontId="6" fillId="0" borderId="0" xfId="0" applyFont="1" applyBorder="1" applyAlignment="1">
      <alignment horizontal="center"/>
    </xf>
    <xf numFmtId="164" fontId="8" fillId="0" borderId="0" xfId="0" applyNumberFormat="1" applyFont="1" applyBorder="1" applyAlignment="1">
      <alignment horizontal="right"/>
    </xf>
    <xf numFmtId="3" fontId="3" fillId="0" borderId="0" xfId="0" applyNumberFormat="1" applyFont="1" applyBorder="1" applyAlignment="1">
      <alignment horizontal="right"/>
    </xf>
    <xf numFmtId="3" fontId="13" fillId="0" borderId="0" xfId="0" applyNumberFormat="1" applyFont="1" applyBorder="1" applyAlignment="1">
      <alignment horizontal="right"/>
    </xf>
    <xf numFmtId="169" fontId="7" fillId="0" borderId="1" xfId="0" applyNumberFormat="1" applyFont="1" applyBorder="1" applyAlignment="1">
      <alignment horizontal="right"/>
    </xf>
    <xf numFmtId="0" fontId="7" fillId="4" borderId="1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0" fillId="0" borderId="2" xfId="0" applyBorder="1"/>
    <xf numFmtId="3" fontId="6" fillId="0" borderId="1" xfId="0" applyNumberFormat="1" applyFont="1" applyFill="1" applyBorder="1" applyAlignment="1">
      <alignment horizontal="right"/>
    </xf>
    <xf numFmtId="164" fontId="14" fillId="0" borderId="1" xfId="0" applyNumberFormat="1" applyFont="1" applyBorder="1" applyAlignment="1">
      <alignment horizontal="right"/>
    </xf>
    <xf numFmtId="164" fontId="9" fillId="0" borderId="1" xfId="0" applyNumberFormat="1" applyFont="1" applyBorder="1" applyAlignment="1">
      <alignment horizontal="left"/>
    </xf>
    <xf numFmtId="3" fontId="3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right"/>
    </xf>
    <xf numFmtId="0" fontId="14" fillId="0" borderId="1" xfId="0" applyNumberFormat="1" applyFont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3" fontId="6" fillId="0" borderId="1" xfId="0" applyNumberFormat="1" applyFont="1" applyFill="1" applyBorder="1" applyAlignment="1">
      <alignment horizontal="left"/>
    </xf>
    <xf numFmtId="0" fontId="15" fillId="0" borderId="0" xfId="0" applyFont="1"/>
    <xf numFmtId="0" fontId="7" fillId="0" borderId="1" xfId="0" applyNumberFormat="1" applyFont="1" applyBorder="1" applyAlignment="1">
      <alignment horizontal="left"/>
    </xf>
    <xf numFmtId="0" fontId="6" fillId="0" borderId="1" xfId="0" applyNumberFormat="1" applyFont="1" applyBorder="1" applyAlignment="1">
      <alignment horizontal="center"/>
    </xf>
    <xf numFmtId="0" fontId="8" fillId="0" borderId="1" xfId="0" applyNumberFormat="1" applyFont="1" applyBorder="1" applyAlignment="1">
      <alignment horizontal="center"/>
    </xf>
    <xf numFmtId="0" fontId="13" fillId="0" borderId="1" xfId="0" applyNumberFormat="1" applyFont="1" applyBorder="1" applyAlignment="1">
      <alignment horizontal="right"/>
    </xf>
    <xf numFmtId="0" fontId="7" fillId="0" borderId="1" xfId="0" applyNumberFormat="1" applyFont="1" applyBorder="1" applyAlignment="1">
      <alignment horizontal="right"/>
    </xf>
    <xf numFmtId="3" fontId="7" fillId="0" borderId="1" xfId="0" applyNumberFormat="1" applyFont="1" applyBorder="1" applyAlignment="1">
      <alignment horizontal="center"/>
    </xf>
    <xf numFmtId="3" fontId="16" fillId="0" borderId="1" xfId="0" applyNumberFormat="1" applyFont="1" applyBorder="1" applyAlignment="1">
      <alignment horizontal="right"/>
    </xf>
    <xf numFmtId="169" fontId="17" fillId="0" borderId="1" xfId="0" applyNumberFormat="1" applyFont="1" applyBorder="1" applyAlignment="1">
      <alignment horizontal="right"/>
    </xf>
    <xf numFmtId="3" fontId="7" fillId="4" borderId="1" xfId="0" applyNumberFormat="1" applyFont="1" applyFill="1" applyBorder="1" applyAlignment="1">
      <alignment horizontal="left"/>
    </xf>
    <xf numFmtId="0" fontId="7" fillId="4" borderId="1" xfId="0" applyNumberFormat="1" applyFont="1" applyFill="1" applyBorder="1" applyAlignment="1">
      <alignment horizontal="left"/>
    </xf>
    <xf numFmtId="0" fontId="16" fillId="0" borderId="1" xfId="0" applyNumberFormat="1" applyFont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7" fillId="0" borderId="1" xfId="0" applyNumberFormat="1" applyFont="1" applyBorder="1" applyAlignment="1">
      <alignment horizontal="center"/>
    </xf>
    <xf numFmtId="0" fontId="7" fillId="0" borderId="1" xfId="0" applyFont="1" applyFill="1" applyBorder="1" applyAlignment="1">
      <alignment horizontal="left"/>
    </xf>
    <xf numFmtId="0" fontId="18" fillId="0" borderId="0" xfId="0" applyFont="1"/>
    <xf numFmtId="0" fontId="16" fillId="0" borderId="0" xfId="0" applyFont="1"/>
    <xf numFmtId="14" fontId="16" fillId="0" borderId="0" xfId="0" applyNumberFormat="1" applyFont="1"/>
    <xf numFmtId="0" fontId="6" fillId="0" borderId="0" xfId="0" applyNumberFormat="1" applyFont="1" applyBorder="1" applyAlignment="1">
      <alignment horizontal="right"/>
    </xf>
    <xf numFmtId="170" fontId="8" fillId="0" borderId="1" xfId="0" applyNumberFormat="1" applyFont="1" applyBorder="1" applyAlignment="1">
      <alignment horizontal="right"/>
    </xf>
    <xf numFmtId="0" fontId="16" fillId="0" borderId="0" xfId="0" applyFont="1" applyAlignment="1">
      <alignment horizontal="left"/>
    </xf>
    <xf numFmtId="3" fontId="0" fillId="0" borderId="0" xfId="0" applyNumberFormat="1"/>
    <xf numFmtId="0" fontId="19" fillId="0" borderId="1" xfId="0" applyFont="1" applyBorder="1" applyAlignment="1">
      <alignment horizontal="left"/>
    </xf>
    <xf numFmtId="3" fontId="8" fillId="0" borderId="1" xfId="0" applyNumberFormat="1" applyFont="1" applyFill="1" applyBorder="1" applyAlignment="1">
      <alignment horizontal="right"/>
    </xf>
    <xf numFmtId="0" fontId="5" fillId="0" borderId="0" xfId="0" applyFont="1" applyFill="1"/>
    <xf numFmtId="0" fontId="0" fillId="0" borderId="0" xfId="0" applyFill="1"/>
    <xf numFmtId="0" fontId="5" fillId="0" borderId="0" xfId="0" quotePrefix="1" applyFont="1"/>
    <xf numFmtId="171" fontId="8" fillId="0" borderId="1" xfId="0" applyNumberFormat="1" applyFont="1" applyBorder="1" applyAlignment="1">
      <alignment horizontal="right"/>
    </xf>
    <xf numFmtId="172" fontId="8" fillId="0" borderId="1" xfId="0" applyNumberFormat="1" applyFont="1" applyBorder="1" applyAlignment="1">
      <alignment horizontal="right"/>
    </xf>
    <xf numFmtId="172" fontId="3" fillId="0" borderId="1" xfId="0" applyNumberFormat="1" applyFont="1" applyBorder="1" applyAlignment="1">
      <alignment horizontal="right"/>
    </xf>
    <xf numFmtId="172" fontId="16" fillId="0" borderId="1" xfId="0" applyNumberFormat="1" applyFont="1" applyBorder="1" applyAlignment="1">
      <alignment horizontal="right"/>
    </xf>
    <xf numFmtId="173" fontId="8" fillId="0" borderId="1" xfId="0" applyNumberFormat="1" applyFont="1" applyBorder="1" applyAlignment="1">
      <alignment horizontal="right"/>
    </xf>
    <xf numFmtId="167" fontId="7" fillId="0" borderId="1" xfId="0" applyNumberFormat="1" applyFont="1" applyBorder="1" applyAlignment="1"/>
    <xf numFmtId="174" fontId="8" fillId="0" borderId="1" xfId="0" applyNumberFormat="1" applyFont="1" applyBorder="1" applyAlignment="1">
      <alignment horizontal="right"/>
    </xf>
    <xf numFmtId="167" fontId="20" fillId="0" borderId="1" xfId="0" applyNumberFormat="1" applyFont="1" applyBorder="1" applyAlignment="1">
      <alignment horizontal="center"/>
    </xf>
    <xf numFmtId="0" fontId="1" fillId="2" borderId="0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199">
    <dxf>
      <font>
        <i/>
        <color rgb="FFC00000"/>
        <name val="Arial"/>
        <charset val="1"/>
      </font>
    </dxf>
    <dxf>
      <font>
        <i/>
        <color rgb="FFC00000"/>
        <name val="Arial"/>
        <charset val="1"/>
      </font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i/>
        <color rgb="FFC00000"/>
        <name val="Arial"/>
        <charset val="1"/>
      </font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b/>
        <color rgb="FFC00000"/>
        <name val="Arial"/>
        <charset val="1"/>
      </font>
    </dxf>
    <dxf>
      <font>
        <b/>
        <color rgb="FFC00000"/>
        <name val="Arial"/>
        <charset val="1"/>
      </font>
    </dxf>
    <dxf>
      <font>
        <color rgb="FFFF0000"/>
      </font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</dxf>
    <dxf>
      <font>
        <b/>
        <color rgb="FFC00000"/>
        <name val="Arial"/>
        <charset val="1"/>
      </font>
    </dxf>
    <dxf>
      <font>
        <color rgb="FFC00000"/>
        <name val="Arial"/>
        <charset val="1"/>
      </font>
      <fill>
        <patternFill>
          <bgColor rgb="FFFFF2CC"/>
        </patternFill>
      </fill>
    </dxf>
    <dxf>
      <font>
        <b/>
        <color rgb="FFC00000"/>
        <name val="Arial"/>
        <charset val="1"/>
      </font>
    </dxf>
    <dxf>
      <fill>
        <patternFill>
          <bgColor rgb="FF92D050"/>
        </patternFill>
      </fill>
    </dxf>
    <dxf>
      <font>
        <color rgb="FFC00000"/>
        <name val="Arial"/>
        <charset val="1"/>
      </font>
      <fill>
        <patternFill>
          <bgColor rgb="FFFFF2CC"/>
        </patternFill>
      </fill>
    </dxf>
    <dxf>
      <font>
        <i/>
        <color rgb="FF808080"/>
        <name val="Arial"/>
        <charset val="1"/>
      </font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i/>
        <color rgb="FF808080"/>
        <name val="Arial"/>
        <charset val="1"/>
      </font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b/>
        <i val="0"/>
        <color rgb="FFFF5050"/>
      </font>
      <fill>
        <patternFill>
          <bgColor theme="0"/>
        </patternFill>
      </fill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color rgb="FFC00000"/>
        <name val="Arial"/>
        <charset val="1"/>
      </font>
    </dxf>
    <dxf>
      <fill>
        <patternFill>
          <bgColor rgb="FFE2EFDA"/>
        </patternFill>
      </fill>
    </dxf>
    <dxf>
      <font>
        <i/>
        <color rgb="FF808080"/>
        <name val="Arial"/>
        <charset val="1"/>
      </font>
      <fill>
        <patternFill>
          <bgColor rgb="FFD9D9D9"/>
        </patternFill>
      </fill>
    </dxf>
    <dxf>
      <font>
        <color theme="1"/>
        <name val="Arial"/>
        <charset val="1"/>
      </font>
      <fill>
        <patternFill>
          <bgColor rgb="FFFF3300"/>
        </patternFill>
      </fill>
    </dxf>
    <dxf>
      <fill>
        <patternFill>
          <bgColor rgb="FFE2EFDA"/>
        </patternFill>
      </fill>
    </dxf>
    <dxf>
      <font>
        <i/>
        <color rgb="FF808080"/>
        <name val="Arial"/>
        <charset val="1"/>
      </font>
      <fill>
        <patternFill>
          <bgColor rgb="FFD9D9D9"/>
        </patternFill>
      </fill>
    </dxf>
    <dxf>
      <fill>
        <patternFill>
          <bgColor rgb="FFFFCC00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ont>
        <color rgb="FFC00000"/>
        <name val="Arial"/>
        <charset val="1"/>
      </font>
    </dxf>
    <dxf>
      <fill>
        <patternFill>
          <bgColor rgb="FFE2EFDA"/>
        </patternFill>
      </fill>
    </dxf>
    <dxf>
      <font>
        <i/>
        <color rgb="FF808080"/>
        <name val="Arial"/>
        <charset val="1"/>
      </font>
      <fill>
        <patternFill>
          <bgColor rgb="FFD9D9D9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ont>
        <i/>
        <color rgb="FF808080"/>
        <name val="Arial"/>
        <charset val="1"/>
      </font>
    </dxf>
    <dxf>
      <font>
        <i/>
        <color rgb="FF808080"/>
        <name val="Arial"/>
        <charset val="1"/>
      </font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ont>
        <b/>
        <color rgb="FFC00000"/>
        <name val="Arial"/>
        <charset val="1"/>
      </font>
    </dxf>
    <dxf>
      <fill>
        <patternFill>
          <bgColor rgb="FFE2EFDA"/>
        </patternFill>
      </fill>
    </dxf>
    <dxf>
      <fill>
        <patternFill>
          <bgColor rgb="FFD9D9D9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left style="thin">
          <color rgb="FFB7B7B7"/>
        </left>
        <right style="thin">
          <color rgb="FFB7B7B7"/>
        </right>
      </border>
    </dxf>
    <dxf>
      <numFmt numFmtId="174" formatCode="[$Rp-421]#,##0;[Red]\-[$Rp-421]#,##0"/>
      <border>
        <left style="thin">
          <color rgb="FFB7B7B7"/>
        </left>
      </border>
    </dxf>
    <dxf>
      <alignment horizontal="general" vertical="bottom" textRotation="0" wrapText="0" indent="0" justifyLastLine="0" shrinkToFit="0" readingOrder="0"/>
      <border outline="0">
        <right style="thin">
          <color rgb="FFB7B7B7"/>
        </right>
      </border>
    </dxf>
    <dxf>
      <border outline="0">
        <left style="thin">
          <color rgb="FFB7B7B7"/>
        </left>
        <right style="thin">
          <color rgb="FFB7B7B7"/>
        </right>
      </border>
    </dxf>
    <dxf>
      <numFmt numFmtId="171" formatCode="0_);[Red]\(\-0\)"/>
    </dxf>
    <dxf>
      <border outline="0">
        <right style="thin">
          <color rgb="FFB7B7B7"/>
        </right>
      </border>
    </dxf>
    <dxf>
      <border outline="0">
        <left style="thin">
          <color rgb="FFB7B7B7"/>
        </left>
      </border>
    </dxf>
    <dxf>
      <font>
        <strike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0" tint="-0.34998626667073579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numFmt numFmtId="172" formatCode="#,##0;[Red]\(\-#,##0\)"/>
      <border>
        <right style="thin">
          <color rgb="FFB7B7B7"/>
        </right>
      </border>
    </dxf>
    <dxf>
      <numFmt numFmtId="3" formatCode="#,##0"/>
    </dxf>
    <dxf>
      <border outline="0">
        <left style="thin">
          <color rgb="FFB7B7B7"/>
        </left>
      </border>
    </dxf>
    <dxf>
      <fill>
        <patternFill patternType="none">
          <fgColor indexed="64"/>
          <bgColor auto="1"/>
        </patternFill>
      </fill>
    </dxf>
    <dxf>
      <border outline="0">
        <right style="thin">
          <color rgb="FFB7B7B7"/>
        </right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7F7F7F"/>
        <name val="Arial"/>
        <family val="2"/>
        <scheme val="none"/>
      </font>
      <numFmt numFmtId="164" formatCode="yyyy\-mm\-dd"/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yyyy\-mm\-dd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border outline="0">
        <left style="thin">
          <color rgb="FFB7B7B7"/>
        </left>
      </border>
    </dxf>
    <dxf>
      <fill>
        <patternFill patternType="none">
          <fgColor indexed="64"/>
          <bgColor auto="1"/>
        </patternFill>
      </fill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numFmt numFmtId="3" formatCode="#,##0"/>
      <border outline="0">
        <right style="thin">
          <color rgb="FFB7B7B7"/>
        </right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0" formatCode="General"/>
    </dxf>
    <dxf>
      <numFmt numFmtId="0" formatCode="General"/>
    </dxf>
    <dxf>
      <border diagonalUp="0" diagonalDown="0" outline="0">
        <left style="thin">
          <color rgb="FFB7B7B7"/>
        </left>
        <right/>
        <top/>
        <bottom/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 outline="0">
        <left style="thin">
          <color rgb="FFB7B7B7"/>
        </left>
        <right/>
        <top/>
        <bottom/>
      </border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border>
        <left style="thin">
          <color rgb="FFB7B7B7"/>
        </left>
        <right style="thin">
          <color rgb="FFB7B7B7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yyyy\-mm\-dd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border diagonalUp="0" diagonalDown="0" outline="0">
        <left style="thin">
          <color rgb="FFB7B7B7"/>
        </left>
        <right/>
        <top/>
        <bottom/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3" formatCode="#,##0"/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strike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border outline="0">
        <right style="thin">
          <color rgb="FFB7B7B7"/>
        </right>
      </border>
    </dxf>
    <dxf>
      <font>
        <sz val="10"/>
        <color rgb="FF008000"/>
        <name val="Arial"/>
        <family val="2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0" formatCode="General"/>
    </dxf>
    <dxf>
      <border outline="0">
        <left style="thin">
          <color rgb="FFB7B7B7"/>
        </left>
      </border>
    </dxf>
    <dxf>
      <border outline="0">
        <right style="thin">
          <color rgb="FFB7B7B7"/>
        </right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169" formatCode="yyyy/mm/dd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0.0%;\(0.0%\)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173" formatCode="#,##0;[Red]\(#,##0\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yyyy\-mm\-dd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yyyy\-mm\-dd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164" formatCode="yyyy\-mm\-dd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3" formatCode="#,##0"/>
    </dxf>
    <dxf>
      <numFmt numFmtId="0" formatCode="General"/>
    </dxf>
    <dxf>
      <numFmt numFmtId="0" formatCode="General"/>
      <border>
        <left style="thin">
          <color rgb="FFB7B7B7"/>
        </left>
      </border>
    </dxf>
    <dxf>
      <font>
        <strike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border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 tint="-0.499984740745262"/>
        <name val="Arial"/>
        <family val="2"/>
        <scheme val="none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 tint="-0.499984740745262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164" formatCode="yyyy\-mm\-dd"/>
    </dxf>
    <dxf>
      <border diagonalUp="0" diagonalDown="0" outline="0">
        <left style="thin">
          <color rgb="FFB7B7B7"/>
        </left>
        <right/>
        <top/>
        <bottom/>
      </border>
    </dxf>
    <dxf>
      <border outline="0">
        <left style="thin">
          <color rgb="FFB7B7B7"/>
        </left>
      </border>
    </dxf>
    <dxf>
      <numFmt numFmtId="168" formatCode="_-[$Rp-421]* #,##0_-;\-[$Rp-421]* #,##0_-;_-[$Rp-421]* &quot;-&quot;_-;_-@_-"/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/>
        <top/>
        <bottom/>
      </border>
    </dxf>
    <dxf>
      <numFmt numFmtId="168" formatCode="_-[$Rp-421]* #,##0_-;\-[$Rp-421]* #,##0_-;_-[$Rp-421]* &quot;-&quot;_-;_-@_-"/>
      <alignment horizontal="left" textRotation="0" indent="0" justifyLastLine="0" shrinkToFit="0" readingOrder="0"/>
      <border outline="0">
        <left style="thin">
          <color rgb="FFB7B7B7"/>
        </left>
      </border>
    </dxf>
    <dxf>
      <border diagonalUp="0" diagonalDown="0" outline="0">
        <left/>
        <right style="thin">
          <color rgb="FFB7B7B7"/>
        </right>
        <top/>
        <bottom/>
      </border>
    </dxf>
    <dxf>
      <numFmt numFmtId="168" formatCode="_-[$Rp-421]* #,##0_-;\-[$Rp-421]* #,##0_-;_-[$Rp-421]* &quot;-&quot;_-;_-@_-"/>
      <alignment horizontal="left" vertical="center" textRotation="0" wrapText="0" indent="0" justifyLastLine="0" shrinkToFit="0" readingOrder="0"/>
      <border outline="0">
        <right style="thin">
          <color rgb="FFB7B7B7"/>
        </right>
      </border>
    </dxf>
    <dxf>
      <border diagonalUp="0" diagonalDown="0" outline="0">
        <left/>
        <right style="thin">
          <color rgb="FFB7B7B7"/>
        </right>
        <top/>
        <bottom/>
      </border>
    </dxf>
    <dxf>
      <border outline="0">
        <left style="thin">
          <color rgb="FFB7B7B7"/>
        </left>
        <right style="thin">
          <color rgb="FFB7B7B7"/>
        </right>
      </border>
    </dxf>
    <dxf>
      <font>
        <strike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</dxf>
    <dxf>
      <numFmt numFmtId="0" formatCode="General"/>
      <border outline="0">
        <right style="thin">
          <color rgb="FFB7B7B7"/>
        </right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_-[$Rp-421]* #,##0_-;\-[$Rp-421]* #,##0_-;_-[$Rp-421]* &quot;-&quot;??_-;_-@_-"/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_-[$Rp-421]* #,##0_-;\-[$Rp-421]* #,##0_-;_-[$Rp-421]* &quot;-&quot;??_-;_-@_-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/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left style="thin">
          <color rgb="FFB7B7B7"/>
        </left>
      </border>
    </dxf>
    <dxf>
      <alignment horizontal="left" vertical="bottom" textRotation="0" wrapText="0" indent="0" justifyLastLine="0" shrinkToFit="0" readingOrder="0"/>
    </dxf>
    <dxf>
      <border outline="0">
        <right style="thin">
          <color rgb="FFB7B7B7"/>
        </right>
      </border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008080"/>
      <rgbColor rgb="FFB7B7B7"/>
      <rgbColor rgb="FF808080"/>
      <rgbColor rgb="FF9999FF"/>
      <rgbColor rgb="FF993366"/>
      <rgbColor rgb="FFFFF2CC"/>
      <rgbColor rgb="FFDDEBF7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E2EFDA"/>
      <rgbColor rgb="FFFCE4D6"/>
      <rgbColor rgb="FF99CCFF"/>
      <rgbColor rgb="FFFF99CC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595959"/>
      <rgbColor rgb="FF878787"/>
      <rgbColor rgb="FF003366"/>
      <rgbColor rgb="FF4F81BD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FF"/>
      <color rgb="FF008000"/>
      <color rgb="FFFF7C80"/>
      <color rgb="FF4FAC2E"/>
      <color rgb="FFFF3300"/>
      <color rgb="FFFFCC0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tbl_MasterMaterial" displayName="tbl_MasterMaterial" ref="A3:O23" totalsRowShown="0">
  <tableColumns count="15">
    <tableColumn id="1" xr3:uid="{00000000-0010-0000-0000-000001000000}" name="Material Code" dataDxfId="198"/>
    <tableColumn id="2" xr3:uid="{00000000-0010-0000-0000-000002000000}" name="Material Description" dataDxfId="197"/>
    <tableColumn id="3" xr3:uid="{00000000-0010-0000-0000-000003000000}" name="Material Group" dataDxfId="196"/>
    <tableColumn id="4" xr3:uid="{00000000-0010-0000-0000-000004000000}" name="Base UoM"/>
    <tableColumn id="7" xr3:uid="{00000000-0010-0000-0000-000007000000}" name="Primary Supplier Code"/>
    <tableColumn id="24" xr3:uid="{0F116849-4911-4B80-B390-3C1C1D0A9D49}" name="Default Storage Location" dataDxfId="195"/>
    <tableColumn id="8" xr3:uid="{00000000-0010-0000-0000-000008000000}" name="Standard Cost (per Base UoM)" dataDxfId="194"/>
    <tableColumn id="5" xr3:uid="{01500A3B-77EE-4BAE-BC67-664F09E22186}" name="ABC Classification" dataDxfId="193"/>
    <tableColumn id="10" xr3:uid="{00000000-0010-0000-0000-00000A000000}" name="Criticality Flag"/>
    <tableColumn id="11" xr3:uid="{00000000-0010-0000-0000-00000B000000}" name="Storage/Handling Class"/>
    <tableColumn id="12" xr3:uid="{00000000-0010-0000-0000-00000C000000}" name="Min Stock Level"/>
    <tableColumn id="13" xr3:uid="{00000000-0010-0000-0000-00000D000000}" name="Max Stock Level"/>
    <tableColumn id="14" xr3:uid="{00000000-0010-0000-0000-00000E000000}" name="Lead Time (Days)"/>
    <tableColumn id="15" xr3:uid="{00000000-0010-0000-0000-00000F000000}" name="Status"/>
    <tableColumn id="22" xr3:uid="{BC7C3BEF-CB66-4A5F-9E71-E29F8E60C070}" name="Remarks" dataDxfId="19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bl_MasterSupplier" displayName="tbl_MasterSupplier" ref="A3:I13" totalsRowShown="0">
  <autoFilter ref="A3:I13" xr:uid="{00000000-0009-0000-0100-000006000000}"/>
  <tableColumns count="9">
    <tableColumn id="1" xr3:uid="{00000000-0010-0000-0100-000001000000}" name="Supplier Code"/>
    <tableColumn id="2" xr3:uid="{00000000-0010-0000-0100-000002000000}" name="Supplier Name"/>
    <tableColumn id="3" xr3:uid="{00000000-0010-0000-0100-000003000000}" name="Supplier Type"/>
    <tableColumn id="5" xr3:uid="{00000000-0010-0000-0100-000005000000}" name="Country"/>
    <tableColumn id="6" xr3:uid="{00000000-0010-0000-0100-000006000000}" name="Contact Person"/>
    <tableColumn id="7" xr3:uid="{00000000-0010-0000-0100-000007000000}" name="Contact Email"/>
    <tableColumn id="8" xr3:uid="{00000000-0010-0000-0100-000008000000}" name="Contact Phone"/>
    <tableColumn id="9" xr3:uid="{00000000-0010-0000-0100-000009000000}" name="Supplier Rating"/>
    <tableColumn id="10" xr3:uid="{00000000-0010-0000-0100-00000A000000}" name="Statu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_MasterLocation" displayName="tbl_MasterLocation" ref="A3:H28" totalsRowShown="0">
  <autoFilter ref="A3:H28" xr:uid="{00000000-0009-0000-0100-000004000000}"/>
  <tableColumns count="8">
    <tableColumn id="1" xr3:uid="{00000000-0010-0000-0200-000001000000}" name="Location Code"/>
    <tableColumn id="2" xr3:uid="{00000000-0010-0000-0200-000002000000}" name="Location Description"/>
    <tableColumn id="3" xr3:uid="{00000000-0010-0000-0200-000003000000}" name="Zone"/>
    <tableColumn id="8" xr3:uid="{276A2345-C837-4FC6-B4E0-FF35EB523268}" name="Location Type" dataDxfId="191"/>
    <tableColumn id="4" xr3:uid="{00000000-0010-0000-0200-000004000000}" name="Storage/Handling Requirement"/>
    <tableColumn id="5" xr3:uid="{00000000-0010-0000-0200-000005000000}" name="Pickable Flag"/>
    <tableColumn id="6" xr3:uid="{00000000-0010-0000-0200-000006000000}" name="Capacity (Max Qty)"/>
    <tableColumn id="7" xr3:uid="{00000000-0010-0000-0200-000007000000}" name="Status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bl_PurchaseOrder" displayName="tbl_PurchaseOrder" ref="A3:S27" totalsRowShown="0">
  <autoFilter ref="A3:S27" xr:uid="{00000000-0009-0000-0100-000009000000}"/>
  <sortState xmlns:xlrd2="http://schemas.microsoft.com/office/spreadsheetml/2017/richdata2" ref="A4:S27">
    <sortCondition ref="A3:A27"/>
  </sortState>
  <tableColumns count="19">
    <tableColumn id="1" xr3:uid="{00000000-0010-0000-0300-000001000000}" name="PO Number"/>
    <tableColumn id="2" xr3:uid="{00000000-0010-0000-0300-000002000000}" name="PO Line"/>
    <tableColumn id="3" xr3:uid="{00000000-0010-0000-0300-000003000000}" name="PO Date"/>
    <tableColumn id="4" xr3:uid="{00000000-0010-0000-0300-000004000000}" name="Supplier Code"/>
    <tableColumn id="5" xr3:uid="{00000000-0010-0000-0300-000005000000}" name="Supplier Name" dataDxfId="190">
      <calculatedColumnFormula>VLOOKUP(tbl_PurchaseOrder[[#This Row],[Supplier Code]],tbl_MasterSupplier[],2,FALSE)</calculatedColumnFormula>
    </tableColumn>
    <tableColumn id="6" xr3:uid="{00000000-0010-0000-0300-000006000000}" name="Material Code"/>
    <tableColumn id="7" xr3:uid="{00000000-0010-0000-0300-000007000000}" name="Material Description" dataDxfId="189">
      <calculatedColumnFormula>_xlfn.XLOOKUP(tbl_PurchaseOrder[[#This Row],[Material Code]],tbl_MasterMaterial[Material Code],tbl_MasterMaterial[Material Description])</calculatedColumnFormula>
    </tableColumn>
    <tableColumn id="8" xr3:uid="{00000000-0010-0000-0300-000008000000}" name="Purchase UoM" dataDxfId="188"/>
    <tableColumn id="9" xr3:uid="{00000000-0010-0000-0300-000009000000}" name="Ordered Qty" dataDxfId="187" totalsRowDxfId="186"/>
    <tableColumn id="10" xr3:uid="{00000000-0010-0000-0300-00000A000000}" name="Unit Price" dataDxfId="185" totalsRowDxfId="184"/>
    <tableColumn id="11" xr3:uid="{00000000-0010-0000-0300-00000B000000}" name="Line Total" dataDxfId="183" totalsRowDxfId="182">
      <calculatedColumnFormula>tbl_PurchaseOrder[[#This Row],[Ordered Qty]]*J4</calculatedColumnFormula>
    </tableColumn>
    <tableColumn id="16" xr3:uid="{00000000-0010-0000-0300-000010000000}" name="Order Priority" dataDxfId="181" totalsRowDxfId="180"/>
    <tableColumn id="17" xr3:uid="{00000000-0010-0000-0300-000011000000}" name="Lead Time (Days)">
      <calculatedColumnFormula>_xlfn.XLOOKUP(tbl_PurchaseOrder[[#This Row],[Material Code]],tbl_MasterMaterial[Material Code],tbl_MasterMaterial[Lead Time (Days)])</calculatedColumnFormula>
    </tableColumn>
    <tableColumn id="18" xr3:uid="{00000000-0010-0000-0300-000012000000}" name="Expected Delivery Date" dataDxfId="179">
      <calculatedColumnFormula>tbl_PurchaseOrder[[#This Row],[PO Date]]+tbl_PurchaseOrder[[#This Row],[Lead Time (Days)]]</calculatedColumnFormula>
    </tableColumn>
    <tableColumn id="13" xr3:uid="{09E53041-1B48-4B81-BCF8-287332AE53AE}" name="Received Qty" dataDxfId="178" totalsRowDxfId="177">
      <calculatedColumnFormula>SUMIFS(tbl_GoodsReceipt[Received Qty],tbl_GoodsReceipt[PO Line Key (Helper)],tbl_PurchaseOrder[[#This Row],[PO Line Key (Helper)]])</calculatedColumnFormula>
    </tableColumn>
    <tableColumn id="14" xr3:uid="{123695AE-1CB2-4070-BEE2-29FE092ACFA7}" name="Outstanding Qty" dataDxfId="176" totalsRowDxfId="175">
      <calculatedColumnFormula>IFERROR(tbl_PurchaseOrder[[#This Row],[Received Qty]]-tbl_PurchaseOrder[[#This Row],[Ordered Qty]],0)</calculatedColumnFormula>
    </tableColumn>
    <tableColumn id="20" xr3:uid="{00000000-0010-0000-0300-000014000000}" name="PO Status" dataDxfId="174">
      <calculatedColumnFormula>IF(tbl_PurchaseOrder[[#This Row],[Received Qty]]=0,"Open",IF(tbl_PurchaseOrder[[#This Row],[Received Qty]]&lt;tbl_PurchaseOrder[[#This Row],[Ordered Qty]],"Partial", "Closed"))</calculatedColumnFormula>
    </tableColumn>
    <tableColumn id="21" xr3:uid="{00000000-0010-0000-0300-000015000000}" name="Remarks" dataDxfId="173"/>
    <tableColumn id="19" xr3:uid="{195CE6D1-9D3F-4D81-9DE2-B82EEBF35742}" name="PO Line Key (Helper)" dataDxfId="172" totalsRowDxfId="171">
      <calculatedColumnFormula>tbl_PurchaseOrder[[#This Row],[PO Number]]&amp;"-"&amp;tbl_PurchaseOrder[[#This Row],[PO Line]]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bl_GoodsReceipt" displayName="tbl_GoodsReceipt" ref="A3:AB20" totalsRowShown="0">
  <autoFilter ref="A3:AB20" xr:uid="{00000000-0009-0000-0100-000003000000}"/>
  <sortState xmlns:xlrd2="http://schemas.microsoft.com/office/spreadsheetml/2017/richdata2" ref="A4:AB20">
    <sortCondition ref="C3:C20"/>
  </sortState>
  <tableColumns count="28">
    <tableColumn id="1" xr3:uid="{00000000-0010-0000-0400-000001000000}" name="GR Number"/>
    <tableColumn id="2" xr3:uid="{00000000-0010-0000-0400-000002000000}" name="GR Line"/>
    <tableColumn id="3" xr3:uid="{00000000-0010-0000-0400-000003000000}" name="GR Date"/>
    <tableColumn id="4" xr3:uid="{00000000-0010-0000-0400-000004000000}" name="PO Number"/>
    <tableColumn id="5" xr3:uid="{00000000-0010-0000-0400-000005000000}" name="PO Line" dataDxfId="170"/>
    <tableColumn id="29" xr3:uid="{32467FAF-3D7D-4CA5-9707-3FB4E795D1FA}" name="PO Line Key (Helper)" dataDxfId="169">
      <calculatedColumnFormula>tbl_GoodsReceipt[[#This Row],[PO Number]]&amp;"-"&amp;tbl_GoodsReceipt[[#This Row],[PO Line]]</calculatedColumnFormula>
    </tableColumn>
    <tableColumn id="6" xr3:uid="{E8DA1EE4-E020-4801-93F4-A35A7E1B2656}" name="Supplier Code" dataDxfId="168">
      <calculatedColumnFormula>_xlfn.XLOOKUP(tbl_GoodsReceipt[[#This Row],[PO Line Key (Helper)]],tbl_PurchaseOrder[PO Line Key (Helper)],tbl_PurchaseOrder[Supplier Code])</calculatedColumnFormula>
    </tableColumn>
    <tableColumn id="7" xr3:uid="{00000000-0010-0000-0400-000007000000}" name="Supplier Name" dataDxfId="167">
      <calculatedColumnFormula>_xlfn.XLOOKUP(tbl_GoodsReceipt[[#This Row],[Supplier Code]],tbl_MasterSupplier[Supplier Code],tbl_MasterSupplier[Supplier Name])</calculatedColumnFormula>
    </tableColumn>
    <tableColumn id="8" xr3:uid="{00000000-0010-0000-0400-000008000000}" name="Material Code" dataDxfId="166">
      <calculatedColumnFormula>_xlfn.XLOOKUP(tbl_GoodsReceipt[[#This Row],[PO Line Key (Helper)]],tbl_PurchaseOrder[PO Line Key (Helper)],tbl_PurchaseOrder[Material Code])</calculatedColumnFormula>
    </tableColumn>
    <tableColumn id="9" xr3:uid="{00000000-0010-0000-0400-000009000000}" name="Material Description" dataDxfId="165">
      <calculatedColumnFormula>_xlfn.XLOOKUP(tbl_GoodsReceipt[[#This Row],[Material Code]],tbl_MasterMaterial[Material Code],tbl_MasterMaterial[Material Description])</calculatedColumnFormula>
    </tableColumn>
    <tableColumn id="10" xr3:uid="{00000000-0010-0000-0400-00000A000000}" name="Order Qty" dataDxfId="164">
      <calculatedColumnFormula>_xlfn.XLOOKUP(tbl_GoodsReceipt[[#This Row],[PO Line Key (Helper)]],tbl_PurchaseOrder[PO Line Key (Helper)],tbl_PurchaseOrder[Ordered Qty])</calculatedColumnFormula>
    </tableColumn>
    <tableColumn id="12" xr3:uid="{00000000-0010-0000-0400-00000C000000}" name="Purchase UoM" dataDxfId="163">
      <calculatedColumnFormula>_xlfn.XLOOKUP(tbl_GoodsReceipt[[#This Row],[PO Line Key (Helper)]],tbl_PurchaseOrder[PO Line Key (Helper)],tbl_PurchaseOrder[Purchase UoM])</calculatedColumnFormula>
    </tableColumn>
    <tableColumn id="11" xr3:uid="{00000000-0010-0000-0400-00000B000000}" name="Unit Price" dataDxfId="162">
      <calculatedColumnFormula>_xlfn.XLOOKUP(tbl_GoodsReceipt[[#This Row],[PO Line Key (Helper)]],tbl_PurchaseOrder[PO Line Key (Helper)],tbl_PurchaseOrder[Unit Price])</calculatedColumnFormula>
    </tableColumn>
    <tableColumn id="20" xr3:uid="{00000000-0010-0000-0400-000014000000}" name="Expected Delivery Date" dataDxfId="161">
      <calculatedColumnFormula>_xlfn.XLOOKUP(tbl_GoodsReceipt[[#This Row],[PO Line Key (Helper)]],tbl_PurchaseOrder[PO Line Key (Helper)],tbl_PurchaseOrder[Expected Delivery Date])</calculatedColumnFormula>
    </tableColumn>
    <tableColumn id="21" xr3:uid="{76F9E9A1-1F34-4FAD-9BFD-02A48B886435}" name="Delivery Note No." dataDxfId="160"/>
    <tableColumn id="19" xr3:uid="{00000000-0010-0000-0400-000013000000}" name="Receiving Dock" dataDxfId="159"/>
    <tableColumn id="27" xr3:uid="{C970C051-0950-4A04-BC06-F42CE88CB783}" name="Received By" dataDxfId="158"/>
    <tableColumn id="13" xr3:uid="{00000000-0010-0000-0400-00000D000000}" name="Received Qty"/>
    <tableColumn id="14" xr3:uid="{00000000-0010-0000-0400-00000E000000}" name="Accepted Qty"/>
    <tableColumn id="15" xr3:uid="{00000000-0010-0000-0400-00000F000000}" name="Rejected Qty" dataDxfId="157">
      <calculatedColumnFormula>tbl_GoodsReceipt[[#This Row],[Received Qty]]-tbl_GoodsReceipt[[#This Row],[Accepted Qty]]</calculatedColumnFormula>
    </tableColumn>
    <tableColumn id="16" xr3:uid="{00000000-0010-0000-0400-000010000000}" name="Inspection Result"/>
    <tableColumn id="17" xr3:uid="{00000000-0010-0000-0400-000011000000}" name="Rejection Reason"/>
    <tableColumn id="18" xr3:uid="{00000000-0010-0000-0400-000012000000}" name="Batch/Lot Number"/>
    <tableColumn id="22" xr3:uid="{00000000-0010-0000-0400-000016000000}" name="Received Variance" dataDxfId="156">
      <calculatedColumnFormula>tbl_GoodsReceipt[[#This Row],[Received Qty]]-tbl_GoodsReceipt[[#This Row],[Order Qty]]</calculatedColumnFormula>
    </tableColumn>
    <tableColumn id="23" xr3:uid="{00000000-0010-0000-0400-000017000000}" name="Received Variance %">
      <calculatedColumnFormula>IFERROR(tbl_GoodsReceipt[[#This Row],[Received Variance]]/tbl_GoodsReceipt[[#This Row],[Order Qty]],0)</calculatedColumnFormula>
    </tableColumn>
    <tableColumn id="28" xr3:uid="{9903FC18-7740-482D-9ABE-94B8CD52CA29}" name="Delivery Status" dataDxfId="155">
      <calculatedColumnFormula>IF(tbl_GoodsReceipt[[#This Row],[GR Date]]&lt;=tbl_GoodsReceipt[[#This Row],[Expected Delivery Date]],"On-time","Late")</calculatedColumnFormula>
    </tableColumn>
    <tableColumn id="25" xr3:uid="{00000000-0010-0000-0400-000019000000}" name="Remarks"/>
    <tableColumn id="26" xr3:uid="{00000000-0010-0000-0400-00001A000000}" name="GR Line Key (Helper)">
      <calculatedColumnFormula>tbl_GoodsReceipt[[#This Row],[GR Number]]&amp;"-"&amp;tbl_GoodsReceipt[[#This Row],[GR Line]]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5000000}" name="tbl_PutAway" displayName="tbl_PutAway" ref="A3:W21" totalsRowShown="0">
  <autoFilter ref="A3:W21" xr:uid="{00000000-0009-0000-0100-00000A000000}"/>
  <tableColumns count="23">
    <tableColumn id="1" xr3:uid="{00000000-0010-0000-0500-000001000000}" name="Put Away Number"/>
    <tableColumn id="2" xr3:uid="{00000000-0010-0000-0500-000002000000}" name="Put Away Line"/>
    <tableColumn id="3" xr3:uid="{00000000-0010-0000-0500-000003000000}" name="Put Away Date"/>
    <tableColumn id="9" xr3:uid="{3D1409EE-9BE5-4C77-8E8C-75FBB533A1BA}" name="GR Date" dataDxfId="154">
      <calculatedColumnFormula>_xlfn.XLOOKUP(tbl_PutAway[[#This Row],[GR Line Key (Helper)]],tbl_GoodsReceipt[GR Line Key (Helper)],tbl_GoodsReceipt[GR Date])</calculatedColumnFormula>
    </tableColumn>
    <tableColumn id="4" xr3:uid="{00000000-0010-0000-0500-000004000000}" name="GR Number"/>
    <tableColumn id="5" xr3:uid="{00000000-0010-0000-0500-000005000000}" name="GR Line" dataDxfId="153"/>
    <tableColumn id="6" xr3:uid="{00000000-0010-0000-0500-000006000000}" name="GR Line Key (Helper)" dataDxfId="152">
      <calculatedColumnFormula>tbl_PutAway[[#This Row],[GR Number]]&amp;"-"&amp;tbl_PutAway[[#This Row],[GR Line]]</calculatedColumnFormula>
    </tableColumn>
    <tableColumn id="7" xr3:uid="{00000000-0010-0000-0500-000007000000}" name="Material Code">
      <calculatedColumnFormula>_xlfn.XLOOKUP(tbl_PutAway[[#This Row],[GR Line Key (Helper)]],tbl_GoodsReceipt[GR Line Key (Helper)],tbl_GoodsReceipt[Material Code])</calculatedColumnFormula>
    </tableColumn>
    <tableColumn id="8" xr3:uid="{00000000-0010-0000-0500-000008000000}" name="Material Description" dataDxfId="151">
      <calculatedColumnFormula>_xlfn.XLOOKUP(tbl_PutAway[[#This Row],[Material Code]],tbl_GoodsReceipt[Material Code],tbl_GoodsReceipt[Material Description])</calculatedColumnFormula>
    </tableColumn>
    <tableColumn id="23" xr3:uid="{17CC66FF-3B10-4724-A531-9ABD3C5CB8D1}" name="Batch/Lot Number" dataDxfId="150">
      <calculatedColumnFormula>_xlfn.XLOOKUP(tbl_PutAway[[#This Row],[GR Line Key (Helper)]],tbl_GoodsReceipt[GR Line Key (Helper)],tbl_GoodsReceipt[Batch/Lot Number])</calculatedColumnFormula>
    </tableColumn>
    <tableColumn id="12" xr3:uid="{00000000-0010-0000-0500-00000C000000}" name="Accepted Qty">
      <calculatedColumnFormula>_xlfn.XLOOKUP(tbl_PutAway[[#This Row],[GR Line Key (Helper)]],tbl_GoodsReceipt[GR Line Key (Helper)],tbl_GoodsReceipt[Accepted Qty])</calculatedColumnFormula>
    </tableColumn>
    <tableColumn id="17" xr3:uid="{28CCFCA5-F3BC-430A-80E6-5C20D5AAAE8F}" name="Purchase UoM" dataDxfId="149">
      <calculatedColumnFormula>_xlfn.XLOOKUP(tbl_PutAway[[#This Row],[GR Line Key (Helper)]],tbl_GoodsReceipt[GR Line Key (Helper)],tbl_GoodsReceipt[Purchase UoM])</calculatedColumnFormula>
    </tableColumn>
    <tableColumn id="16" xr3:uid="{0A641E53-0249-44B9-9E19-52E853A7C026}" name="Put Away Qty" dataDxfId="148"/>
    <tableColumn id="13" xr3:uid="{00000000-0010-0000-0500-00000D000000}" name="Base UoM" dataDxfId="147">
      <calculatedColumnFormula>_xlfn.XLOOKUP(tbl_PutAway[[#This Row],[Material Code]],tbl_MasterMaterial[Material Code],tbl_MasterMaterial[Base UoM])</calculatedColumnFormula>
    </tableColumn>
    <tableColumn id="15" xr3:uid="{00000000-0010-0000-0500-00000F000000}" name="From Location" dataDxfId="146">
      <calculatedColumnFormula>_xlfn.XLOOKUP(tbl_PutAway[[#This Row],[GR Line Key (Helper)]],tbl_GoodsReceipt[GR Line Key (Helper)],tbl_GoodsReceipt[Receiving Dock])</calculatedColumnFormula>
    </tableColumn>
    <tableColumn id="10" xr3:uid="{1E1EA826-7DDD-4C65-AB2E-9676F8A827A7}" name="Suggested Storage Location (Ref)" dataDxfId="145">
      <calculatedColumnFormula>_xlfn.XLOOKUP(tbl_PutAway[[#This Row],[Material Code]],tbl_MasterMaterial[Material Code],tbl_MasterMaterial[Default Storage Location])</calculatedColumnFormula>
    </tableColumn>
    <tableColumn id="14" xr3:uid="{00000000-0010-0000-0500-00000E000000}" name="Storage/Handling Class" dataDxfId="144">
      <calculatedColumnFormula>_xlfn.XLOOKUP(tbl_PutAway[[#This Row],[Material Code]],tbl_MasterMaterial[Material Code],tbl_MasterMaterial[Storage/Handling Class])</calculatedColumnFormula>
    </tableColumn>
    <tableColumn id="24" xr3:uid="{BB70C6C7-B755-4415-A577-FB1FBECE67FD}" name="To Location" dataDxfId="143"/>
    <tableColumn id="19" xr3:uid="{1445C40B-D3A5-4C1B-9654-FF2E02CAEB6A}" name="Location Storage/Handling Requirement" dataDxfId="142">
      <calculatedColumnFormula>_xlfn.XLOOKUP(tbl_PutAway[[#This Row],[To Location]],tbl_MasterLocation[Location Code],tbl_MasterLocation[Storage/Handling Requirement])</calculatedColumnFormula>
    </tableColumn>
    <tableColumn id="20" xr3:uid="{47D4BE73-8080-42B6-985B-6CB165C06B54}" name="Location Match Check" dataDxfId="141">
      <calculatedColumnFormula>IF(tbl_PutAway[[#This Row],[Location Storage/Handling Requirement]]=tbl_PutAway[[#This Row],[Storage/Handling Class]],"Match","Mismatch - Review")</calculatedColumnFormula>
    </tableColumn>
    <tableColumn id="18" xr3:uid="{00000000-0010-0000-0500-000012000000}" name="Put Away Status" dataDxfId="140"/>
    <tableColumn id="21" xr3:uid="{00000000-0010-0000-0500-000015000000}" name="Remarks"/>
    <tableColumn id="22" xr3:uid="{00000000-0010-0000-0500-000016000000}" name="Put-Away Line Key (Helper)">
      <calculatedColumnFormula>tbl_PutAway[[#This Row],[Put Away Number]]&amp;"-"&amp;tbl_PutAway[[#This Row],[Put Away Line]]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MaterialRequest" displayName="tbl_MaterialRequest" ref="A3:R18">
  <autoFilter ref="A3:R18" xr:uid="{00000000-000C-0000-FFFF-FFFF06000000}"/>
  <tableColumns count="18">
    <tableColumn id="20" xr3:uid="{B9BDAC6D-879A-470A-ABB4-87ED00CCA6F0}" name="Request Number" totalsRowLabel="Total" dataDxfId="139" totalsRowDxfId="138"/>
    <tableColumn id="2" xr3:uid="{00000000-0010-0000-0600-000002000000}" name="Request Line" dataDxfId="137" totalsRowDxfId="136"/>
    <tableColumn id="3" xr3:uid="{00000000-0010-0000-0600-000003000000}" name="Request Date"/>
    <tableColumn id="10" xr3:uid="{00000000-0010-0000-0600-00000A000000}" name="Required Date" dataDxfId="135" totalsRowDxfId="134"/>
    <tableColumn id="4" xr3:uid="{00000000-0010-0000-0600-000004000000}" name="Requesting Department"/>
    <tableColumn id="11" xr3:uid="{831BCE6C-DEE7-4065-962F-97D9A2507CC7}" name="Requester" dataDxfId="133" totalsRowDxfId="132"/>
    <tableColumn id="5" xr3:uid="{00000000-0010-0000-0600-000005000000}" name="Material Code"/>
    <tableColumn id="6" xr3:uid="{00000000-0010-0000-0600-000006000000}" name="Material Description"/>
    <tableColumn id="7" xr3:uid="{00000000-0010-0000-0600-000007000000}" name="Base UoM">
      <calculatedColumnFormula>_xlfn.XLOOKUP(tbl_MaterialRequest[[#This Row],[Material Code]],tbl_MasterMaterial[Material Code],tbl_MasterMaterial[Base UoM])</calculatedColumnFormula>
    </tableColumn>
    <tableColumn id="8" xr3:uid="{00000000-0010-0000-0600-000008000000}" name="Quantity Requested"/>
    <tableColumn id="9" xr3:uid="{00000000-0010-0000-0600-000009000000}" name="Request Priority"/>
    <tableColumn id="13" xr3:uid="{00000000-0010-0000-0600-00000D000000}" name="Available Stock (Ref)" dataDxfId="131">
      <calculatedColumnFormula>_xlfn.XLOOKUP(tbl_MaterialRequest[[#This Row],[Material Code]],'10_Stock_Card'!F4:F32,'10_Stock_Card'!M4:M32,"",0,-1)</calculatedColumnFormula>
    </tableColumn>
    <tableColumn id="14" xr3:uid="{00000000-0010-0000-0600-00000E000000}" name="Stock Sufficiency Check" dataDxfId="130">
      <calculatedColumnFormula>IF(L4&gt;=J4,"Sufficient","Insufficient - Review")</calculatedColumnFormula>
    </tableColumn>
    <tableColumn id="18" xr3:uid="{74FAE01D-9255-4B75-B167-77ECC7DC5BAF}" name="Approval Status" dataDxfId="129" totalsRowDxfId="128"/>
    <tableColumn id="12" xr3:uid="{00000000-0010-0000-0600-00000C000000}" name="Total Issued (Ref)" dataDxfId="127" totalsRowDxfId="126">
      <calculatedColumnFormula>IFERROR(_xlfn.XLOOKUP(tbl_MaterialRequest[[#This Row],[Request Line Key (Helper)]],tbl_GoodsIssue[MR],tbl_GoodsIssue[Quantity Issued]),"")</calculatedColumnFormula>
    </tableColumn>
    <tableColumn id="15" xr3:uid="{00000000-0010-0000-0600-00000F000000}" name="Request Status" dataDxfId="125" totalsRowDxfId="124"/>
    <tableColumn id="16" xr3:uid="{00000000-0010-0000-0600-000010000000}" name="Remarks" dataDxfId="123" totalsRowDxfId="122"/>
    <tableColumn id="17" xr3:uid="{00000000-0010-0000-0600-000011000000}" name="Request Line Key (Helper)" totalsRowFunction="count">
      <calculatedColumnFormula>tbl_MaterialRequest[[#This Row],[Request Number]]&amp;"-"&amp;tbl_MaterialRequest[[#This Row],[Request Line]]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PickingList" displayName="tbl_PickingList" ref="A3:S15" totalsRowShown="0">
  <autoFilter ref="A3:S15" xr:uid="{00000000-000C-0000-FFFF-FFFF07000000}"/>
  <tableColumns count="19">
    <tableColumn id="1" xr3:uid="{00000000-0010-0000-0700-000001000000}" name="Pick Number"/>
    <tableColumn id="2" xr3:uid="{00000000-0010-0000-0700-000002000000}" name="Pick Line"/>
    <tableColumn id="3" xr3:uid="{00000000-0010-0000-0700-000003000000}" name="Pick Date"/>
    <tableColumn id="4" xr3:uid="{00000000-0010-0000-0700-000004000000}" name="Request Number"/>
    <tableColumn id="5" xr3:uid="{00000000-0010-0000-0700-000005000000}" name="Request Line"/>
    <tableColumn id="6" xr3:uid="{00000000-0010-0000-0700-000006000000}" name="Request Line Key (Helper)">
      <calculatedColumnFormula>tbl_PickingList[[#This Row],[Request Number]]&amp;"-"&amp;tbl_PickingList[[#This Row],[Request Line]]</calculatedColumnFormula>
    </tableColumn>
    <tableColumn id="7" xr3:uid="{00000000-0010-0000-0700-000007000000}" name="Material Code" dataDxfId="121">
      <calculatedColumnFormula>_xlfn.XLOOKUP(tbl_PickingList[[#This Row],[Request Line Key (Helper)]],tbl_MaterialRequest[Request Line Key (Helper)],tbl_MaterialRequest[Material Code])</calculatedColumnFormula>
    </tableColumn>
    <tableColumn id="8" xr3:uid="{00000000-0010-0000-0700-000008000000}" name="Material Description" dataDxfId="120">
      <calculatedColumnFormula>_xlfn.XLOOKUP(tbl_PickingList[[#This Row],[Request Line Key (Helper)]],tbl_MaterialRequest[Request Line Key (Helper)],tbl_MaterialRequest[Material Description])</calculatedColumnFormula>
    </tableColumn>
    <tableColumn id="21" xr3:uid="{C9E3CB77-E7C0-4337-8D57-40323596F0A3}" name="Base UoM" dataDxfId="119">
      <calculatedColumnFormula>_xlfn.XLOOKUP(tbl_PickingList[[#This Row],[Request Line Key (Helper)]],tbl_MaterialRequest[Request Line Key (Helper)],tbl_MaterialRequest[Base UoM])</calculatedColumnFormula>
    </tableColumn>
    <tableColumn id="9" xr3:uid="{00000000-0010-0000-0700-000009000000}" name="Requesting Department (Ref)" dataDxfId="118">
      <calculatedColumnFormula>_xlfn.XLOOKUP(tbl_PickingList[[#This Row],[Request Line Key (Helper)]],tbl_MaterialRequest[Request Line Key (Helper)],tbl_MaterialRequest[Requesting Department])</calculatedColumnFormula>
    </tableColumn>
    <tableColumn id="10" xr3:uid="{00000000-0010-0000-0700-00000A000000}" name="Request Priority (Ref)" dataDxfId="117">
      <calculatedColumnFormula>_xlfn.XLOOKUP(tbl_PickingList[[#This Row],[Request Line Key (Helper)]],tbl_MaterialRequest[Request Line Key (Helper)],tbl_MaterialRequest[Request Priority])</calculatedColumnFormula>
    </tableColumn>
    <tableColumn id="11" xr3:uid="{00000000-0010-0000-0700-00000B000000}" name="Quantity Requested (Ref)" dataDxfId="116">
      <calculatedColumnFormula>_xlfn.XLOOKUP(tbl_PickingList[[#This Row],[Request Line Key (Helper)]],tbl_MaterialRequest[Request Line Key (Helper)],tbl_MaterialRequest[Quantity Requested])</calculatedColumnFormula>
    </tableColumn>
    <tableColumn id="12" xr3:uid="{00000000-0010-0000-0700-00000C000000}" name="Pick Location " dataDxfId="115">
      <calculatedColumnFormula>_xlfn.XLOOKUP(tbl_PickingList[[#This Row],[Material Code]],tbl_PutAway[Material Code],tbl_PutAway[To Location])</calculatedColumnFormula>
    </tableColumn>
    <tableColumn id="14" xr3:uid="{00000000-0010-0000-0700-00000E000000}" name="Available Stock" dataDxfId="114">
      <calculatedColumnFormula>_xlfn.XLOOKUP(tbl_PickingList[[#This Row],[Material Code]],'10_Stock_Card'!F4:F32,'10_Stock_Card'!M4:M32,"",0,-1)</calculatedColumnFormula>
    </tableColumn>
    <tableColumn id="16" xr3:uid="{00000000-0010-0000-0700-000010000000}" name="Quantity Picked" dataDxfId="113"/>
    <tableColumn id="17" xr3:uid="{00000000-0010-0000-0700-000011000000}" name="Pick Status" dataDxfId="112">
      <calculatedColumnFormula>IF(tbl_PickingList[[#This Row],[Quantity Requested (Ref)]]=0,"Not Picked",IF(tbl_PickingList[[#This Row],[Quantity Picked]]&lt;tbl_PickingList[[#This Row],[Quantity Requested (Ref)]],"Partially Picked","Fully Picked"))</calculatedColumnFormula>
    </tableColumn>
    <tableColumn id="25" xr3:uid="{73D8D924-0876-4F34-9DBA-39EA7F81708E}" name="Picker" dataDxfId="111"/>
    <tableColumn id="19" xr3:uid="{00000000-0010-0000-0700-000013000000}" name="Remarks"/>
    <tableColumn id="20" xr3:uid="{00000000-0010-0000-0700-000014000000}" name="Pick Line Key (Helper)">
      <calculatedColumnFormula>tbl_PickingList[[#This Row],[Pick Number]]&amp;"-"&amp;tbl_PickingList[[#This Row],[Pick Line]]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8000000}" name="tbl_GoodsIssue" displayName="tbl_GoodsIssue" ref="A3:V15" totalsRowShown="0">
  <autoFilter ref="A3:V15" xr:uid="{00000000-0009-0000-0100-000002000000}"/>
  <tableColumns count="22">
    <tableColumn id="1" xr3:uid="{00000000-0010-0000-0800-000001000000}" name="GI Number"/>
    <tableColumn id="2" xr3:uid="{00000000-0010-0000-0800-000002000000}" name="GI Line"/>
    <tableColumn id="3" xr3:uid="{00000000-0010-0000-0800-000003000000}" name="GI Date"/>
    <tableColumn id="4" xr3:uid="{00000000-0010-0000-0800-000004000000}" name="Pick Number"/>
    <tableColumn id="5" xr3:uid="{00000000-0010-0000-0800-000005000000}" name="Pick Line"/>
    <tableColumn id="19" xr3:uid="{E93C14AF-94CF-4F14-81CC-82A7578004AD}" name="Request Number" dataDxfId="110">
      <calculatedColumnFormula>_xlfn.XLOOKUP(tbl_GoodsIssue[[#This Row],[Pick Line Key (Helper)]],tbl_PickingList[Pick Line Key (Helper)],tbl_PickingList[Request Number])</calculatedColumnFormula>
    </tableColumn>
    <tableColumn id="20" xr3:uid="{38A75A8A-6A06-4489-86DF-2EE0CE3971EF}" name="Request Line" dataDxfId="109">
      <calculatedColumnFormula>_xlfn.XLOOKUP(tbl_GoodsIssue[[#This Row],[Pick Line Key (Helper)]],tbl_PickingList[Pick Line Key (Helper)],tbl_PickingList[Request Line])</calculatedColumnFormula>
    </tableColumn>
    <tableColumn id="6" xr3:uid="{00000000-0010-0000-0800-000006000000}" name="Pick Line Key (Helper)" dataDxfId="108">
      <calculatedColumnFormula>D4&amp;"-"&amp;E4</calculatedColumnFormula>
    </tableColumn>
    <tableColumn id="7" xr3:uid="{00000000-0010-0000-0800-000007000000}" name="Material Code">
      <calculatedColumnFormula>_xlfn.XLOOKUP(tbl_GoodsIssue[[#This Row],[Pick Line Key (Helper)]],tbl_PickingList[Pick Line Key (Helper)],tbl_PickingList[Material Code])</calculatedColumnFormula>
    </tableColumn>
    <tableColumn id="8" xr3:uid="{00000000-0010-0000-0800-000008000000}" name="Material Description">
      <calculatedColumnFormula>_xlfn.XLOOKUP(tbl_GoodsIssue[[#This Row],[Material Code]],tbl_MasterMaterial[Material Code],tbl_MasterMaterial[Material Description])</calculatedColumnFormula>
    </tableColumn>
    <tableColumn id="9" xr3:uid="{00000000-0010-0000-0800-000009000000}" name="Base UoM" dataDxfId="107">
      <calculatedColumnFormula>_xlfn.XLOOKUP(tbl_GoodsIssue[[#This Row],[Material Code]],tbl_MasterMaterial[Material Code],tbl_MasterMaterial[Base UoM])</calculatedColumnFormula>
    </tableColumn>
    <tableColumn id="10" xr3:uid="{00000000-0010-0000-0800-00000A000000}" name="Issuing Location (Ref)" dataDxfId="106">
      <calculatedColumnFormula>_xlfn.XLOOKUP(tbl_GoodsIssue[[#This Row],[Pick Line Key (Helper)]],tbl_PickingList[Pick Line Key (Helper)],tbl_PickingList[[Pick Location ]])</calculatedColumnFormula>
    </tableColumn>
    <tableColumn id="11" xr3:uid="{00000000-0010-0000-0800-00000B000000}" name="Requesting Department (Ref)" dataDxfId="105">
      <calculatedColumnFormula>_xlfn.XLOOKUP(tbl_GoodsIssue[[#This Row],[Pick Line Key (Helper)]],tbl_PickingList[Pick Line Key (Helper)],tbl_PickingList[Requesting Department (Ref)])</calculatedColumnFormula>
    </tableColumn>
    <tableColumn id="12" xr3:uid="{00000000-0010-0000-0800-00000C000000}" name="Quantity Picked (Ref)" dataDxfId="104">
      <calculatedColumnFormula>_xlfn.XLOOKUP(tbl_GoodsIssue[[#This Row],[Pick Line Key (Helper)]],tbl_PickingList[Pick Line Key (Helper)],tbl_PickingList[Quantity Picked])</calculatedColumnFormula>
    </tableColumn>
    <tableColumn id="13" xr3:uid="{00000000-0010-0000-0800-00000D000000}" name="Quantity Issued"/>
    <tableColumn id="14" xr3:uid="{00000000-0010-0000-0800-00000E000000}" name="Issue Variance" dataDxfId="103">
      <calculatedColumnFormula>tbl_GoodsIssue[[#This Row],[Quantity Issued]]-tbl_GoodsIssue[[#This Row],[Quantity Picked (Ref)]]</calculatedColumnFormula>
    </tableColumn>
    <tableColumn id="15" xr3:uid="{604A2A6F-C4DD-4034-9B7B-D193996479E5}" name="Issue Status" dataDxfId="102">
      <calculatedColumnFormula>IF(tbl_GoodsIssue[[#This Row],[Quantity Issued]]&lt;tbl_GoodsIssue[[#This Row],[Quantity Picked (Ref)]],"Partial","Completed")</calculatedColumnFormula>
    </tableColumn>
    <tableColumn id="21" xr3:uid="{90D76B52-520C-4D83-81A3-B6E72FB0F149}" name="Issued By" dataDxfId="101"/>
    <tableColumn id="22" xr3:uid="{76096732-D4A3-4A12-8DD0-430477B5B0BF}" name="Received By" dataDxfId="100"/>
    <tableColumn id="16" xr3:uid="{00000000-0010-0000-0800-000010000000}" name="Remarks" dataDxfId="99"/>
    <tableColumn id="17" xr3:uid="{00000000-0010-0000-0800-000011000000}" name="GI Line Key (Helper)" dataDxfId="98">
      <calculatedColumnFormula>tbl_GoodsIssue[[#This Row],[GI Number]]&amp;"-"&amp;tbl_GoodsIssue[[#This Row],[GI Line]]</calculatedColumnFormula>
    </tableColumn>
    <tableColumn id="23" xr3:uid="{21F1F36F-2396-482F-BFCE-12F60C905BC9}" name="MR" dataDxfId="97">
      <calculatedColumnFormula>tbl_GoodsIssue[[#This Row],[Request Number]]&amp;"-"&amp;tbl_GoodsIssue[[#This Row],[Request Line]]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A000000}" name="tbl_CycleCount" displayName="tbl_CycleCount" ref="A3:T11" totalsRowShown="0">
  <autoFilter ref="A3:T11" xr:uid="{00000000-0009-0000-0100-000001000000}"/>
  <tableColumns count="20">
    <tableColumn id="1" xr3:uid="{00000000-0010-0000-0A00-000001000000}" name="Count Number"/>
    <tableColumn id="2" xr3:uid="{00000000-0010-0000-0A00-000002000000}" name="Count Line"/>
    <tableColumn id="3" xr3:uid="{00000000-0010-0000-0A00-000003000000}" name="Count Date"/>
    <tableColumn id="4" xr3:uid="{00000000-0010-0000-0A00-000004000000}" name="Material Code"/>
    <tableColumn id="5" xr3:uid="{00000000-0010-0000-0A00-000005000000}" name="Material Description" dataDxfId="96">
      <calculatedColumnFormula>_xlfn.XLOOKUP(tbl_CycleCount[[#This Row],[Material Code]],tbl_MasterMaterial[Material Code],tbl_MasterMaterial[Material Description])</calculatedColumnFormula>
    </tableColumn>
    <tableColumn id="20" xr3:uid="{42D72B1C-0469-448F-89C5-AE97F1EFA4A3}" name="ABC Classification" dataDxfId="95">
      <calculatedColumnFormula>_xlfn.XLOOKUP(tbl_CycleCount[[#This Row],[Material Code]],tbl_MasterMaterial[Material Code],tbl_MasterMaterial[ABC Classification])</calculatedColumnFormula>
    </tableColumn>
    <tableColumn id="8" xr3:uid="{00000000-0010-0000-0A00-000008000000}" name="Count Location (Ref)" dataDxfId="94"/>
    <tableColumn id="9" xr3:uid="{00000000-0010-0000-0A00-000009000000}" name="System Qty (Ref)" dataDxfId="93">
      <calculatedColumnFormula>_xlfn.XLOOKUP(tbl_CycleCount[[#This Row],[Material Code]],'10_Stock_Card'!F4:F32,'10_Stock_Card'!M4:M32,"",,-1)</calculatedColumnFormula>
    </tableColumn>
    <tableColumn id="10" xr3:uid="{00000000-0010-0000-0A00-00000A000000}" name="Physical Count" dataDxfId="92"/>
    <tableColumn id="11" xr3:uid="{00000000-0010-0000-0A00-00000B000000}" name="Variance (Qty)" dataDxfId="91">
      <calculatedColumnFormula>tbl_CycleCount[[#This Row],[Physical Count]]-tbl_CycleCount[[#This Row],[System Qty (Ref)]]</calculatedColumnFormula>
    </tableColumn>
    <tableColumn id="12" xr3:uid="{00000000-0010-0000-0A00-00000C000000}" name="Variance %" dataDxfId="90">
      <calculatedColumnFormula>IFERROR(tbl_CycleCount[[#This Row],[Variance (Qty)]]/tbl_CycleCount[[#This Row],[System Qty (Ref)]],0)</calculatedColumnFormula>
    </tableColumn>
    <tableColumn id="13" xr3:uid="{00000000-0010-0000-0A00-00000D000000}" name="Unit Cost (Ref)" dataDxfId="89">
      <calculatedColumnFormula>_xlfn.XLOOKUP(tbl_CycleCount[[#This Row],[Material Code]],tbl_MasterMaterial[Material Code],tbl_MasterMaterial[Standard Cost (per Base UoM)])</calculatedColumnFormula>
    </tableColumn>
    <tableColumn id="14" xr3:uid="{00000000-0010-0000-0A00-00000E000000}" name="Variance Value" dataDxfId="88">
      <calculatedColumnFormula>tbl_CycleCount[[#This Row],[Variance (Qty)]]*tbl_CycleCount[[#This Row],[Unit Cost (Ref)]]</calculatedColumnFormula>
    </tableColumn>
    <tableColumn id="15" xr3:uid="{00000000-0010-0000-0A00-00000F000000}" name="Count Result" dataDxfId="87"/>
    <tableColumn id="7" xr3:uid="{19FA728F-5901-4A45-82C7-A24BD8CD672D}" name="Count By" dataDxfId="86"/>
    <tableColumn id="6" xr3:uid="{40535110-8F23-4B6C-8557-AF648D9A2B41}" name="Verified By" dataDxfId="85"/>
    <tableColumn id="16" xr3:uid="{00000000-0010-0000-0A00-000010000000}" name="Root Cause" dataDxfId="84"/>
    <tableColumn id="17" xr3:uid="{00000000-0010-0000-0A00-000011000000}" name="Adjustment Status"/>
    <tableColumn id="18" xr3:uid="{00000000-0010-0000-0A00-000012000000}" name="Remarks"/>
    <tableColumn id="19" xr3:uid="{2718145A-3CE3-42EB-A2A9-5B850CE78E6D}" name="Count Line Key (Helper)" dataDxfId="83">
      <calculatedColumnFormula>tbl_CycleCount[[#This Row],[Count Number]]&amp;"-"&amp;tbl_CycleCount[[#This Row],[Count Line]]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9"/>
  <sheetViews>
    <sheetView showGridLines="0" tabSelected="1" zoomScaleNormal="100" workbookViewId="0">
      <pane ySplit="3" topLeftCell="A4" activePane="bottomLeft" state="frozen"/>
      <selection pane="bottomLeft" activeCell="A2" sqref="A2"/>
    </sheetView>
  </sheetViews>
  <sheetFormatPr defaultColWidth="8.7109375" defaultRowHeight="15" x14ac:dyDescent="0.25"/>
  <cols>
    <col min="1" max="1" width="12.42578125" customWidth="1"/>
    <col min="2" max="2" width="34" customWidth="1"/>
    <col min="3" max="3" width="26" bestFit="1" customWidth="1"/>
    <col min="4" max="4" width="6.28515625" customWidth="1"/>
    <col min="5" max="5" width="13.85546875" customWidth="1"/>
    <col min="6" max="6" width="15" customWidth="1"/>
    <col min="7" max="7" width="16" customWidth="1"/>
    <col min="8" max="8" width="15" customWidth="1"/>
    <col min="9" max="9" width="13.7109375" customWidth="1"/>
    <col min="10" max="10" width="17.5703125" customWidth="1"/>
    <col min="11" max="11" width="10.42578125" customWidth="1"/>
    <col min="12" max="12" width="10.85546875" customWidth="1"/>
    <col min="13" max="13" width="10.5703125" customWidth="1"/>
    <col min="14" max="14" width="9.140625" customWidth="1"/>
    <col min="15" max="15" width="27.140625" customWidth="1"/>
  </cols>
  <sheetData>
    <row r="1" spans="1:15" ht="24" customHeight="1" x14ac:dyDescent="0.25">
      <c r="A1" s="109" t="s">
        <v>0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</row>
    <row r="3" spans="1:15" ht="31.5" customHeight="1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6</v>
      </c>
      <c r="F3" s="1" t="s">
        <v>231</v>
      </c>
      <c r="G3" s="1" t="s">
        <v>7</v>
      </c>
      <c r="H3" s="1" t="s">
        <v>477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124</v>
      </c>
    </row>
    <row r="4" spans="1:15" x14ac:dyDescent="0.25">
      <c r="A4" s="2" t="s">
        <v>14</v>
      </c>
      <c r="B4" s="2" t="s">
        <v>15</v>
      </c>
      <c r="C4" s="2" t="s">
        <v>16</v>
      </c>
      <c r="D4" s="2" t="s">
        <v>17</v>
      </c>
      <c r="E4" s="2" t="s">
        <v>258</v>
      </c>
      <c r="F4" s="2" t="s">
        <v>238</v>
      </c>
      <c r="G4" s="24">
        <v>750000</v>
      </c>
      <c r="H4" s="108" t="s">
        <v>485</v>
      </c>
      <c r="I4" s="2" t="s">
        <v>18</v>
      </c>
      <c r="J4" s="2" t="s">
        <v>19</v>
      </c>
      <c r="K4" s="3">
        <v>20</v>
      </c>
      <c r="L4" s="3">
        <v>100</v>
      </c>
      <c r="M4" s="3">
        <v>14</v>
      </c>
      <c r="N4" s="2" t="s">
        <v>20</v>
      </c>
      <c r="O4" s="3"/>
    </row>
    <row r="5" spans="1:15" x14ac:dyDescent="0.25">
      <c r="A5" s="2" t="s">
        <v>21</v>
      </c>
      <c r="B5" s="2" t="s">
        <v>22</v>
      </c>
      <c r="C5" s="2" t="s">
        <v>233</v>
      </c>
      <c r="D5" s="2" t="s">
        <v>17</v>
      </c>
      <c r="E5" s="2" t="s">
        <v>30</v>
      </c>
      <c r="F5" s="2" t="s">
        <v>347</v>
      </c>
      <c r="G5" s="24">
        <v>4200000</v>
      </c>
      <c r="H5" s="108" t="s">
        <v>478</v>
      </c>
      <c r="I5" s="2" t="s">
        <v>19</v>
      </c>
      <c r="J5" s="2" t="s">
        <v>24</v>
      </c>
      <c r="K5" s="3">
        <v>10</v>
      </c>
      <c r="L5" s="3">
        <v>50</v>
      </c>
      <c r="M5" s="3">
        <v>21</v>
      </c>
      <c r="N5" s="2" t="s">
        <v>20</v>
      </c>
      <c r="O5" s="3"/>
    </row>
    <row r="6" spans="1:15" x14ac:dyDescent="0.25">
      <c r="A6" s="2" t="s">
        <v>25</v>
      </c>
      <c r="B6" s="2" t="s">
        <v>26</v>
      </c>
      <c r="C6" s="2" t="s">
        <v>234</v>
      </c>
      <c r="D6" s="2" t="s">
        <v>17</v>
      </c>
      <c r="E6" s="2" t="s">
        <v>23</v>
      </c>
      <c r="F6" s="2" t="s">
        <v>239</v>
      </c>
      <c r="G6" s="24">
        <v>250000</v>
      </c>
      <c r="H6" s="108" t="s">
        <v>485</v>
      </c>
      <c r="I6" s="2" t="s">
        <v>18</v>
      </c>
      <c r="J6" s="2" t="s">
        <v>19</v>
      </c>
      <c r="K6" s="3">
        <v>50</v>
      </c>
      <c r="L6" s="3">
        <v>300</v>
      </c>
      <c r="M6" s="3">
        <v>7</v>
      </c>
      <c r="N6" s="2" t="s">
        <v>20</v>
      </c>
      <c r="O6" s="3"/>
    </row>
    <row r="7" spans="1:15" x14ac:dyDescent="0.25">
      <c r="A7" s="2" t="s">
        <v>27</v>
      </c>
      <c r="B7" s="2" t="s">
        <v>28</v>
      </c>
      <c r="C7" s="2" t="s">
        <v>29</v>
      </c>
      <c r="D7" s="2" t="s">
        <v>17</v>
      </c>
      <c r="E7" s="2" t="s">
        <v>30</v>
      </c>
      <c r="F7" s="2" t="s">
        <v>240</v>
      </c>
      <c r="G7" s="24">
        <v>8000</v>
      </c>
      <c r="H7" s="108" t="s">
        <v>480</v>
      </c>
      <c r="I7" s="2" t="s">
        <v>19</v>
      </c>
      <c r="J7" s="2" t="s">
        <v>19</v>
      </c>
      <c r="K7" s="3">
        <v>500</v>
      </c>
      <c r="L7" s="3">
        <v>5000</v>
      </c>
      <c r="M7" s="3">
        <v>10</v>
      </c>
      <c r="N7" s="2" t="s">
        <v>20</v>
      </c>
      <c r="O7" s="3"/>
    </row>
    <row r="8" spans="1:15" x14ac:dyDescent="0.25">
      <c r="A8" s="2" t="s">
        <v>31</v>
      </c>
      <c r="B8" s="2" t="s">
        <v>32</v>
      </c>
      <c r="C8" s="2" t="s">
        <v>33</v>
      </c>
      <c r="D8" s="2" t="s">
        <v>34</v>
      </c>
      <c r="E8" s="2" t="s">
        <v>259</v>
      </c>
      <c r="F8" s="2" t="s">
        <v>241</v>
      </c>
      <c r="G8" s="24">
        <v>950000</v>
      </c>
      <c r="H8" s="108" t="s">
        <v>485</v>
      </c>
      <c r="I8" s="2" t="s">
        <v>19</v>
      </c>
      <c r="J8" s="2" t="s">
        <v>35</v>
      </c>
      <c r="K8" s="3">
        <v>40</v>
      </c>
      <c r="L8" s="3">
        <v>200</v>
      </c>
      <c r="M8" s="3">
        <v>5</v>
      </c>
      <c r="N8" s="2" t="s">
        <v>20</v>
      </c>
      <c r="O8" s="3"/>
    </row>
    <row r="9" spans="1:15" x14ac:dyDescent="0.25">
      <c r="A9" s="2" t="s">
        <v>36</v>
      </c>
      <c r="B9" s="2" t="s">
        <v>232</v>
      </c>
      <c r="C9" s="2" t="s">
        <v>235</v>
      </c>
      <c r="D9" s="2" t="s">
        <v>17</v>
      </c>
      <c r="E9" s="2" t="s">
        <v>255</v>
      </c>
      <c r="F9" s="2" t="s">
        <v>242</v>
      </c>
      <c r="G9" s="24">
        <v>6800000</v>
      </c>
      <c r="H9" s="108" t="s">
        <v>478</v>
      </c>
      <c r="I9" s="2" t="s">
        <v>18</v>
      </c>
      <c r="J9" s="2" t="s">
        <v>24</v>
      </c>
      <c r="K9" s="3">
        <v>15</v>
      </c>
      <c r="L9" s="3">
        <v>65</v>
      </c>
      <c r="M9" s="3">
        <v>30</v>
      </c>
      <c r="N9" s="2" t="s">
        <v>20</v>
      </c>
      <c r="O9" s="3"/>
    </row>
    <row r="10" spans="1:15" x14ac:dyDescent="0.25">
      <c r="A10" s="2" t="s">
        <v>37</v>
      </c>
      <c r="B10" s="2" t="s">
        <v>38</v>
      </c>
      <c r="C10" s="2" t="s">
        <v>234</v>
      </c>
      <c r="D10" s="2" t="s">
        <v>17</v>
      </c>
      <c r="E10" s="2" t="s">
        <v>23</v>
      </c>
      <c r="F10" s="2" t="s">
        <v>243</v>
      </c>
      <c r="G10" s="24">
        <v>420000</v>
      </c>
      <c r="H10" s="108" t="s">
        <v>485</v>
      </c>
      <c r="I10" s="2" t="s">
        <v>19</v>
      </c>
      <c r="J10" s="2" t="s">
        <v>19</v>
      </c>
      <c r="K10" s="3">
        <v>30</v>
      </c>
      <c r="L10" s="3">
        <v>150</v>
      </c>
      <c r="M10" s="3">
        <v>10</v>
      </c>
      <c r="N10" s="2" t="s">
        <v>20</v>
      </c>
      <c r="O10" s="3"/>
    </row>
    <row r="11" spans="1:15" x14ac:dyDescent="0.25">
      <c r="A11" s="2" t="s">
        <v>39</v>
      </c>
      <c r="B11" s="2" t="s">
        <v>40</v>
      </c>
      <c r="C11" s="2" t="s">
        <v>16</v>
      </c>
      <c r="D11" s="2" t="s">
        <v>17</v>
      </c>
      <c r="E11" s="2" t="s">
        <v>258</v>
      </c>
      <c r="F11" s="2" t="s">
        <v>244</v>
      </c>
      <c r="G11" s="24">
        <v>680000</v>
      </c>
      <c r="H11" s="108" t="s">
        <v>485</v>
      </c>
      <c r="I11" s="2" t="s">
        <v>18</v>
      </c>
      <c r="J11" s="2" t="s">
        <v>19</v>
      </c>
      <c r="K11" s="3">
        <v>15</v>
      </c>
      <c r="L11" s="3">
        <v>80</v>
      </c>
      <c r="M11" s="3">
        <v>12</v>
      </c>
      <c r="N11" s="2" t="s">
        <v>20</v>
      </c>
      <c r="O11" s="3"/>
    </row>
    <row r="12" spans="1:15" x14ac:dyDescent="0.25">
      <c r="A12" s="2" t="s">
        <v>41</v>
      </c>
      <c r="B12" s="2" t="s">
        <v>42</v>
      </c>
      <c r="C12" s="2" t="s">
        <v>236</v>
      </c>
      <c r="D12" s="2" t="s">
        <v>17</v>
      </c>
      <c r="E12" s="2" t="s">
        <v>256</v>
      </c>
      <c r="F12" s="2" t="s">
        <v>470</v>
      </c>
      <c r="G12" s="24">
        <v>95000</v>
      </c>
      <c r="H12" s="108" t="s">
        <v>485</v>
      </c>
      <c r="I12" s="2" t="s">
        <v>19</v>
      </c>
      <c r="J12" s="2" t="s">
        <v>35</v>
      </c>
      <c r="K12" s="3">
        <v>60</v>
      </c>
      <c r="L12" s="3">
        <v>400</v>
      </c>
      <c r="M12" s="3">
        <v>5</v>
      </c>
      <c r="N12" s="2" t="s">
        <v>20</v>
      </c>
      <c r="O12" s="3"/>
    </row>
    <row r="13" spans="1:15" x14ac:dyDescent="0.25">
      <c r="A13" s="2" t="s">
        <v>43</v>
      </c>
      <c r="B13" s="2" t="s">
        <v>44</v>
      </c>
      <c r="C13" s="2" t="s">
        <v>33</v>
      </c>
      <c r="D13" s="2" t="s">
        <v>45</v>
      </c>
      <c r="E13" s="2" t="s">
        <v>260</v>
      </c>
      <c r="F13" s="2" t="s">
        <v>289</v>
      </c>
      <c r="G13" s="24">
        <v>380000</v>
      </c>
      <c r="H13" s="108" t="s">
        <v>485</v>
      </c>
      <c r="I13" s="2" t="s">
        <v>19</v>
      </c>
      <c r="J13" s="2" t="s">
        <v>19</v>
      </c>
      <c r="K13" s="3">
        <v>100</v>
      </c>
      <c r="L13" s="3">
        <v>600</v>
      </c>
      <c r="M13" s="3">
        <v>7</v>
      </c>
      <c r="N13" s="2" t="s">
        <v>20</v>
      </c>
      <c r="O13" s="3"/>
    </row>
    <row r="14" spans="1:15" x14ac:dyDescent="0.25">
      <c r="A14" s="2" t="s">
        <v>46</v>
      </c>
      <c r="B14" s="2" t="s">
        <v>47</v>
      </c>
      <c r="C14" s="2" t="s">
        <v>235</v>
      </c>
      <c r="D14" s="2" t="s">
        <v>17</v>
      </c>
      <c r="E14" s="2" t="s">
        <v>257</v>
      </c>
      <c r="F14" s="2" t="s">
        <v>246</v>
      </c>
      <c r="G14" s="24">
        <v>28500000</v>
      </c>
      <c r="H14" s="108" t="s">
        <v>485</v>
      </c>
      <c r="I14" s="2" t="s">
        <v>18</v>
      </c>
      <c r="J14" s="2" t="s">
        <v>24</v>
      </c>
      <c r="K14" s="3">
        <v>2</v>
      </c>
      <c r="L14" s="3">
        <v>10</v>
      </c>
      <c r="M14" s="3">
        <v>45</v>
      </c>
      <c r="N14" s="2" t="s">
        <v>20</v>
      </c>
      <c r="O14" s="3"/>
    </row>
    <row r="15" spans="1:15" x14ac:dyDescent="0.25">
      <c r="A15" s="2" t="s">
        <v>48</v>
      </c>
      <c r="B15" s="2" t="s">
        <v>49</v>
      </c>
      <c r="C15" s="2" t="s">
        <v>235</v>
      </c>
      <c r="D15" s="2" t="s">
        <v>17</v>
      </c>
      <c r="E15" s="2" t="s">
        <v>257</v>
      </c>
      <c r="F15" s="2" t="s">
        <v>247</v>
      </c>
      <c r="G15" s="24">
        <v>620000</v>
      </c>
      <c r="H15" s="108" t="s">
        <v>480</v>
      </c>
      <c r="I15" s="2" t="s">
        <v>18</v>
      </c>
      <c r="J15" s="2" t="s">
        <v>24</v>
      </c>
      <c r="K15" s="3">
        <v>25</v>
      </c>
      <c r="L15" s="3">
        <v>120</v>
      </c>
      <c r="M15" s="3">
        <v>20</v>
      </c>
      <c r="N15" s="2" t="s">
        <v>20</v>
      </c>
      <c r="O15" s="3"/>
    </row>
    <row r="16" spans="1:15" x14ac:dyDescent="0.25">
      <c r="A16" s="2" t="s">
        <v>50</v>
      </c>
      <c r="B16" s="2" t="s">
        <v>51</v>
      </c>
      <c r="C16" s="2" t="s">
        <v>236</v>
      </c>
      <c r="D16" s="2" t="s">
        <v>34</v>
      </c>
      <c r="E16" s="2" t="s">
        <v>256</v>
      </c>
      <c r="F16" s="2" t="s">
        <v>245</v>
      </c>
      <c r="G16" s="24">
        <v>780000</v>
      </c>
      <c r="H16" s="108" t="s">
        <v>480</v>
      </c>
      <c r="I16" s="2" t="s">
        <v>19</v>
      </c>
      <c r="J16" s="2" t="s">
        <v>35</v>
      </c>
      <c r="K16" s="3">
        <v>30</v>
      </c>
      <c r="L16" s="3">
        <v>150</v>
      </c>
      <c r="M16" s="3">
        <v>5</v>
      </c>
      <c r="N16" s="2" t="s">
        <v>20</v>
      </c>
      <c r="O16" s="3"/>
    </row>
    <row r="17" spans="1:15" x14ac:dyDescent="0.25">
      <c r="A17" s="2" t="s">
        <v>52</v>
      </c>
      <c r="B17" s="2" t="s">
        <v>53</v>
      </c>
      <c r="C17" s="2" t="s">
        <v>29</v>
      </c>
      <c r="D17" s="2" t="s">
        <v>17</v>
      </c>
      <c r="E17" s="2" t="s">
        <v>91</v>
      </c>
      <c r="F17" s="2" t="s">
        <v>248</v>
      </c>
      <c r="G17" s="24">
        <v>2000</v>
      </c>
      <c r="H17" s="108" t="s">
        <v>485</v>
      </c>
      <c r="I17" s="2" t="s">
        <v>19</v>
      </c>
      <c r="J17" s="2" t="s">
        <v>19</v>
      </c>
      <c r="K17" s="3">
        <v>1000</v>
      </c>
      <c r="L17" s="3">
        <v>8000</v>
      </c>
      <c r="M17" s="3">
        <v>10</v>
      </c>
      <c r="N17" s="2" t="s">
        <v>20</v>
      </c>
      <c r="O17" s="3"/>
    </row>
    <row r="18" spans="1:15" x14ac:dyDescent="0.25">
      <c r="A18" s="2" t="s">
        <v>54</v>
      </c>
      <c r="B18" s="2" t="s">
        <v>55</v>
      </c>
      <c r="C18" s="2" t="s">
        <v>237</v>
      </c>
      <c r="D18" s="2" t="s">
        <v>17</v>
      </c>
      <c r="E18" s="2" t="s">
        <v>23</v>
      </c>
      <c r="F18" s="2" t="s">
        <v>387</v>
      </c>
      <c r="G18" s="24">
        <v>15500000</v>
      </c>
      <c r="H18" s="108" t="s">
        <v>478</v>
      </c>
      <c r="I18" s="2" t="s">
        <v>18</v>
      </c>
      <c r="J18" s="2" t="s">
        <v>24</v>
      </c>
      <c r="K18" s="3">
        <v>8</v>
      </c>
      <c r="L18" s="3">
        <v>50</v>
      </c>
      <c r="M18" s="3">
        <v>35</v>
      </c>
      <c r="N18" s="2" t="s">
        <v>20</v>
      </c>
      <c r="O18" s="3"/>
    </row>
    <row r="19" spans="1:15" x14ac:dyDescent="0.25">
      <c r="A19" s="2" t="s">
        <v>56</v>
      </c>
      <c r="B19" s="2" t="s">
        <v>57</v>
      </c>
      <c r="C19" s="2" t="s">
        <v>237</v>
      </c>
      <c r="D19" s="2" t="s">
        <v>17</v>
      </c>
      <c r="E19" s="2" t="s">
        <v>23</v>
      </c>
      <c r="F19" s="2" t="s">
        <v>250</v>
      </c>
      <c r="G19" s="24">
        <v>185000</v>
      </c>
      <c r="H19" s="108" t="s">
        <v>485</v>
      </c>
      <c r="I19" s="2" t="s">
        <v>19</v>
      </c>
      <c r="J19" s="2" t="s">
        <v>19</v>
      </c>
      <c r="K19" s="3">
        <v>40</v>
      </c>
      <c r="L19" s="3">
        <v>200</v>
      </c>
      <c r="M19" s="3">
        <v>8</v>
      </c>
      <c r="N19" s="2" t="s">
        <v>20</v>
      </c>
      <c r="O19" s="3"/>
    </row>
    <row r="20" spans="1:15" x14ac:dyDescent="0.25">
      <c r="A20" s="2" t="s">
        <v>58</v>
      </c>
      <c r="B20" s="2" t="s">
        <v>59</v>
      </c>
      <c r="C20" s="2" t="s">
        <v>233</v>
      </c>
      <c r="D20" s="2" t="s">
        <v>17</v>
      </c>
      <c r="E20" s="2" t="s">
        <v>254</v>
      </c>
      <c r="F20" s="2" t="s">
        <v>348</v>
      </c>
      <c r="G20" s="24">
        <v>5600000</v>
      </c>
      <c r="H20" s="108" t="s">
        <v>485</v>
      </c>
      <c r="I20" s="2" t="s">
        <v>19</v>
      </c>
      <c r="J20" s="2" t="s">
        <v>24</v>
      </c>
      <c r="K20" s="3">
        <v>5</v>
      </c>
      <c r="L20" s="3">
        <v>25</v>
      </c>
      <c r="M20" s="3">
        <v>25</v>
      </c>
      <c r="N20" s="2" t="s">
        <v>20</v>
      </c>
      <c r="O20" s="3"/>
    </row>
    <row r="21" spans="1:15" x14ac:dyDescent="0.25">
      <c r="A21" s="2" t="s">
        <v>60</v>
      </c>
      <c r="B21" s="2" t="s">
        <v>61</v>
      </c>
      <c r="C21" s="2" t="s">
        <v>234</v>
      </c>
      <c r="D21" s="2" t="s">
        <v>17</v>
      </c>
      <c r="E21" s="2" t="s">
        <v>259</v>
      </c>
      <c r="F21" s="2" t="s">
        <v>251</v>
      </c>
      <c r="G21" s="24">
        <v>320000</v>
      </c>
      <c r="H21" s="108" t="s">
        <v>485</v>
      </c>
      <c r="I21" s="2" t="s">
        <v>19</v>
      </c>
      <c r="J21" s="2" t="s">
        <v>19</v>
      </c>
      <c r="K21" s="3">
        <v>35</v>
      </c>
      <c r="L21" s="3">
        <v>180</v>
      </c>
      <c r="M21" s="3">
        <v>7</v>
      </c>
      <c r="N21" s="2" t="s">
        <v>20</v>
      </c>
      <c r="O21" s="3"/>
    </row>
    <row r="22" spans="1:15" x14ac:dyDescent="0.25">
      <c r="A22" s="2" t="s">
        <v>62</v>
      </c>
      <c r="B22" s="2" t="s">
        <v>63</v>
      </c>
      <c r="C22" s="2" t="s">
        <v>16</v>
      </c>
      <c r="D22" s="2" t="s">
        <v>17</v>
      </c>
      <c r="E22" s="2" t="s">
        <v>258</v>
      </c>
      <c r="F22" s="2" t="s">
        <v>252</v>
      </c>
      <c r="G22" s="24">
        <v>75000</v>
      </c>
      <c r="H22" s="108" t="s">
        <v>485</v>
      </c>
      <c r="I22" s="2" t="s">
        <v>19</v>
      </c>
      <c r="J22" s="2" t="s">
        <v>19</v>
      </c>
      <c r="K22" s="3">
        <v>80</v>
      </c>
      <c r="L22" s="3">
        <v>400</v>
      </c>
      <c r="M22" s="3">
        <v>9</v>
      </c>
      <c r="N22" s="2" t="s">
        <v>20</v>
      </c>
      <c r="O22" s="3"/>
    </row>
    <row r="23" spans="1:15" x14ac:dyDescent="0.25">
      <c r="A23" s="2" t="s">
        <v>64</v>
      </c>
      <c r="B23" s="2" t="s">
        <v>65</v>
      </c>
      <c r="C23" s="2" t="s">
        <v>235</v>
      </c>
      <c r="D23" s="2" t="s">
        <v>17</v>
      </c>
      <c r="E23" s="2" t="s">
        <v>257</v>
      </c>
      <c r="F23" s="2" t="s">
        <v>253</v>
      </c>
      <c r="G23" s="24">
        <v>8900000</v>
      </c>
      <c r="H23" s="108" t="s">
        <v>485</v>
      </c>
      <c r="I23" s="2" t="s">
        <v>18</v>
      </c>
      <c r="J23" s="2" t="s">
        <v>24</v>
      </c>
      <c r="K23" s="3">
        <v>2</v>
      </c>
      <c r="L23" s="3">
        <v>8</v>
      </c>
      <c r="M23" s="3">
        <v>40</v>
      </c>
      <c r="N23" s="2" t="s">
        <v>66</v>
      </c>
      <c r="O23" s="3"/>
    </row>
    <row r="26" spans="1:15" x14ac:dyDescent="0.25">
      <c r="A26" s="4" t="s">
        <v>67</v>
      </c>
    </row>
    <row r="27" spans="1:15" x14ac:dyDescent="0.25">
      <c r="A27" s="5" t="s">
        <v>68</v>
      </c>
    </row>
    <row r="28" spans="1:15" x14ac:dyDescent="0.25">
      <c r="A28" s="5" t="s">
        <v>69</v>
      </c>
    </row>
    <row r="29" spans="1:15" x14ac:dyDescent="0.25">
      <c r="A29" s="5" t="s">
        <v>70</v>
      </c>
    </row>
  </sheetData>
  <mergeCells count="1">
    <mergeCell ref="A1:O1"/>
  </mergeCells>
  <phoneticPr fontId="10" type="noConversion"/>
  <conditionalFormatting sqref="A31:E53">
    <cfRule type="expression" dxfId="82" priority="103">
      <formula>$E31="Inactive"</formula>
    </cfRule>
    <cfRule type="expression" dxfId="81" priority="104">
      <formula>#REF!="Critical Spare"</formula>
    </cfRule>
  </conditionalFormatting>
  <conditionalFormatting sqref="A4:O23">
    <cfRule type="expression" dxfId="80" priority="28">
      <formula>$N4="Inactive"</formula>
    </cfRule>
    <cfRule type="expression" dxfId="79" priority="29">
      <formula>$I4="Critical Spare"</formula>
    </cfRule>
  </conditionalFormatting>
  <conditionalFormatting sqref="A24:O30 A54:O498">
    <cfRule type="expression" dxfId="78" priority="20">
      <formula>$O24="Inactive"</formula>
    </cfRule>
    <cfRule type="expression" dxfId="77" priority="21">
      <formula>$I24="Critical Spare"</formula>
    </cfRule>
  </conditionalFormatting>
  <conditionalFormatting sqref="F4:F23">
    <cfRule type="duplicateValues" dxfId="76" priority="2"/>
  </conditionalFormatting>
  <conditionalFormatting sqref="H4:H23">
    <cfRule type="containsText" dxfId="75" priority="1" operator="containsText" text="A">
      <formula>NOT(ISERROR(SEARCH("A",H4)))</formula>
    </cfRule>
  </conditionalFormatting>
  <dataValidations count="8">
    <dataValidation type="list" showInputMessage="1" showErrorMessage="1" errorTitle="Invalid entry" error="Please select a value from the list." promptTitle="Material Group" prompt="Select the material category." sqref="C54:C498 C24:C30" xr:uid="{00000000-0002-0000-0000-000000000000}">
      <formula1>"Raw Steel,Hydraulic Components,Engine Parts,Fasteners,Consumables,Finished Spares"</formula1>
      <formula2>0</formula2>
    </dataValidation>
    <dataValidation type="list" showInputMessage="1" showErrorMessage="1" errorTitle="Invalid entry" error="Please select a value from the list." promptTitle="Status" prompt="Select material status." sqref="N4:N23 E31:E53 O24:O30 O54:O498" xr:uid="{00000000-0002-0000-0000-000006000000}">
      <formula1>"Active,Inactive"</formula1>
      <formula2>0</formula2>
    </dataValidation>
    <dataValidation type="list" showInputMessage="1" showErrorMessage="1" errorTitle="Invalid entry" error="Please select a value from the list." promptTitle="Criticality Flag" prompt="Flag machine-down-risk items." sqref="I54:I498 I4:I30" xr:uid="{00000000-0002-0000-0000-000004000000}">
      <formula1>"Critical Spare,Standard"</formula1>
      <formula2>0</formula2>
    </dataValidation>
    <dataValidation type="list" showInputMessage="1" showErrorMessage="1" errorTitle="Invalid entry" error="Please select a value from the list." promptTitle="Base UoM" prompt="Select the base unit of measure." sqref="E54:E498 D4:D498 E24:E30" xr:uid="{00000000-0002-0000-0000-000001000000}">
      <formula1>"PCS,KG,MTR,LTR,BOX"</formula1>
      <formula2>0</formula2>
    </dataValidation>
    <dataValidation type="list" allowBlank="1" showInputMessage="1" showErrorMessage="1" sqref="C4:C23" xr:uid="{101417DC-3BD9-4612-AFA3-709F519D356D}">
      <formula1>"Hydraulic Components, Engine Components, Electrical Components, Undercarriage Components, Fasteners, Filters, Lubricants &amp; Fluids, Raw Materials, Consumables"</formula1>
    </dataValidation>
    <dataValidation type="list" showInputMessage="1" showErrorMessage="1" sqref="E4:E12" xr:uid="{FCC0FDE7-72BB-4D58-9001-3623EB5A5A23}">
      <formula1>"SUP-0001,SUP-0002,SUP-0003,SUP-0004,SUP-0005,SUP-0006,SUP-0007,SUP-0008,SUP-0009,SUP-0010"</formula1>
    </dataValidation>
    <dataValidation type="list" showInputMessage="1" showErrorMessage="1" errorTitle="Invalid entry" error="Please select a value from the list." promptTitle="Storage/Handling Class" prompt="Select storage handling requirement." sqref="J4:J498" xr:uid="{00000000-0002-0000-0000-000005000000}">
      <formula1>"Standard,Heavy/Bulk,Hazardous,Fragile"</formula1>
      <formula2>0</formula2>
    </dataValidation>
    <dataValidation type="list" showInputMessage="1" showErrorMessage="1" sqref="H7:H23" xr:uid="{582317C2-A65F-418E-909D-36F9BEA7E68E}">
      <formula1>"A,B,C"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37425827-78BB-4EED-99ED-68AF6329E1DF}">
          <x14:formula1>
            <xm:f>'02_Master_Supplier'!$A$4:$A$13</xm:f>
          </x14:formula1>
          <xm:sqref>E13:E23</xm:sqref>
        </x14:dataValidation>
        <x14:dataValidation type="list" showInputMessage="1" showErrorMessage="1" xr:uid="{B67629E5-7AE8-4167-8634-81AF43DF4760}">
          <x14:formula1>
            <xm:f>'03_Master_Location'!$A$4:$A$24</xm:f>
          </x14:formula1>
          <xm:sqref>F4:F23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2"/>
  <sheetViews>
    <sheetView showGridLines="0" zoomScaleNormal="100" workbookViewId="0">
      <pane ySplit="3" topLeftCell="A4" activePane="bottomLeft" state="frozen"/>
      <selection pane="bottomLeft" activeCell="B23" sqref="B23"/>
    </sheetView>
  </sheetViews>
  <sheetFormatPr defaultColWidth="8.7109375" defaultRowHeight="15" x14ac:dyDescent="0.25"/>
  <cols>
    <col min="1" max="1" width="14" customWidth="1"/>
    <col min="2" max="2" width="32" customWidth="1"/>
    <col min="3" max="3" width="23.85546875" bestFit="1" customWidth="1"/>
    <col min="4" max="4" width="14.7109375" customWidth="1"/>
    <col min="5" max="5" width="21.5703125" bestFit="1" customWidth="1"/>
    <col min="6" max="6" width="29.28515625" bestFit="1" customWidth="1"/>
    <col min="7" max="7" width="18.5703125" customWidth="1"/>
    <col min="8" max="8" width="14" customWidth="1"/>
    <col min="9" max="9" width="10" customWidth="1"/>
    <col min="11" max="17" width="11" customWidth="1"/>
  </cols>
  <sheetData>
    <row r="1" spans="1:9" ht="24" customHeight="1" x14ac:dyDescent="0.25">
      <c r="A1" s="109" t="s">
        <v>71</v>
      </c>
      <c r="B1" s="109"/>
      <c r="C1" s="109"/>
      <c r="D1" s="109"/>
      <c r="E1" s="109"/>
      <c r="F1" s="109"/>
      <c r="G1" s="109"/>
      <c r="H1" s="109"/>
      <c r="I1" s="109"/>
    </row>
    <row r="3" spans="1:9" ht="31.5" customHeight="1" x14ac:dyDescent="0.25">
      <c r="A3" s="1" t="s">
        <v>72</v>
      </c>
      <c r="B3" s="1" t="s">
        <v>73</v>
      </c>
      <c r="C3" s="1" t="s">
        <v>74</v>
      </c>
      <c r="D3" s="1" t="s">
        <v>75</v>
      </c>
      <c r="E3" s="1" t="s">
        <v>76</v>
      </c>
      <c r="F3" s="1" t="s">
        <v>77</v>
      </c>
      <c r="G3" s="1" t="s">
        <v>78</v>
      </c>
      <c r="H3" s="1" t="s">
        <v>79</v>
      </c>
      <c r="I3" s="1" t="s">
        <v>13</v>
      </c>
    </row>
    <row r="4" spans="1:9" x14ac:dyDescent="0.25">
      <c r="A4" s="2" t="s">
        <v>254</v>
      </c>
      <c r="B4" s="2" t="s">
        <v>262</v>
      </c>
      <c r="C4" s="2" t="s">
        <v>261</v>
      </c>
      <c r="D4" s="2" t="s">
        <v>80</v>
      </c>
      <c r="E4" s="2" t="s">
        <v>263</v>
      </c>
      <c r="F4" s="2" t="s">
        <v>264</v>
      </c>
      <c r="G4" s="2" t="s">
        <v>81</v>
      </c>
      <c r="H4" s="2" t="s">
        <v>82</v>
      </c>
      <c r="I4" s="2" t="s">
        <v>20</v>
      </c>
    </row>
    <row r="5" spans="1:9" x14ac:dyDescent="0.25">
      <c r="A5" s="2" t="s">
        <v>91</v>
      </c>
      <c r="B5" s="2" t="s">
        <v>265</v>
      </c>
      <c r="C5" s="2" t="s">
        <v>261</v>
      </c>
      <c r="D5" s="2" t="s">
        <v>80</v>
      </c>
      <c r="E5" s="2" t="s">
        <v>266</v>
      </c>
      <c r="F5" s="2" t="s">
        <v>267</v>
      </c>
      <c r="G5" s="2" t="s">
        <v>83</v>
      </c>
      <c r="H5" s="2" t="s">
        <v>84</v>
      </c>
      <c r="I5" s="2" t="s">
        <v>20</v>
      </c>
    </row>
    <row r="6" spans="1:9" x14ac:dyDescent="0.25">
      <c r="A6" s="2" t="s">
        <v>255</v>
      </c>
      <c r="B6" s="2" t="s">
        <v>268</v>
      </c>
      <c r="C6" s="2" t="s">
        <v>269</v>
      </c>
      <c r="D6" s="2" t="s">
        <v>80</v>
      </c>
      <c r="E6" s="2" t="s">
        <v>270</v>
      </c>
      <c r="F6" s="2" t="s">
        <v>271</v>
      </c>
      <c r="G6" s="2" t="s">
        <v>85</v>
      </c>
      <c r="H6" s="2" t="s">
        <v>82</v>
      </c>
      <c r="I6" s="2" t="s">
        <v>20</v>
      </c>
    </row>
    <row r="7" spans="1:9" x14ac:dyDescent="0.25">
      <c r="A7" s="2" t="s">
        <v>256</v>
      </c>
      <c r="B7" s="2" t="s">
        <v>272</v>
      </c>
      <c r="C7" s="2" t="s">
        <v>261</v>
      </c>
      <c r="D7" s="2" t="s">
        <v>80</v>
      </c>
      <c r="E7" s="2" t="s">
        <v>266</v>
      </c>
      <c r="F7" s="2" t="s">
        <v>273</v>
      </c>
      <c r="G7" s="2" t="s">
        <v>86</v>
      </c>
      <c r="H7" s="2" t="s">
        <v>84</v>
      </c>
      <c r="I7" s="2" t="s">
        <v>20</v>
      </c>
    </row>
    <row r="8" spans="1:9" x14ac:dyDescent="0.25">
      <c r="A8" s="2" t="s">
        <v>23</v>
      </c>
      <c r="B8" s="2" t="s">
        <v>274</v>
      </c>
      <c r="C8" s="2" t="s">
        <v>269</v>
      </c>
      <c r="D8" s="2" t="s">
        <v>87</v>
      </c>
      <c r="E8" s="2" t="s">
        <v>275</v>
      </c>
      <c r="F8" s="2" t="s">
        <v>276</v>
      </c>
      <c r="G8" s="2" t="s">
        <v>88</v>
      </c>
      <c r="H8" s="2" t="s">
        <v>82</v>
      </c>
      <c r="I8" s="2" t="s">
        <v>20</v>
      </c>
    </row>
    <row r="9" spans="1:9" x14ac:dyDescent="0.25">
      <c r="A9" s="2" t="s">
        <v>257</v>
      </c>
      <c r="B9" s="2" t="s">
        <v>277</v>
      </c>
      <c r="C9" s="2" t="s">
        <v>278</v>
      </c>
      <c r="D9" s="2" t="s">
        <v>89</v>
      </c>
      <c r="E9" s="2" t="s">
        <v>279</v>
      </c>
      <c r="F9" s="2" t="s">
        <v>280</v>
      </c>
      <c r="G9" s="2" t="s">
        <v>90</v>
      </c>
      <c r="H9" s="2" t="s">
        <v>82</v>
      </c>
      <c r="I9" s="2" t="s">
        <v>20</v>
      </c>
    </row>
    <row r="10" spans="1:9" x14ac:dyDescent="0.25">
      <c r="A10" s="2" t="s">
        <v>258</v>
      </c>
      <c r="B10" s="2" t="s">
        <v>281</v>
      </c>
      <c r="C10" s="2" t="s">
        <v>269</v>
      </c>
      <c r="D10" s="2" t="s">
        <v>80</v>
      </c>
      <c r="E10" s="2" t="s">
        <v>275</v>
      </c>
      <c r="F10" s="2" t="s">
        <v>282</v>
      </c>
      <c r="G10" s="2" t="s">
        <v>92</v>
      </c>
      <c r="H10" s="2" t="s">
        <v>82</v>
      </c>
      <c r="I10" s="2" t="s">
        <v>20</v>
      </c>
    </row>
    <row r="11" spans="1:9" x14ac:dyDescent="0.25">
      <c r="A11" s="2" t="s">
        <v>259</v>
      </c>
      <c r="B11" s="2" t="s">
        <v>283</v>
      </c>
      <c r="C11" s="2" t="s">
        <v>261</v>
      </c>
      <c r="D11" s="2" t="s">
        <v>87</v>
      </c>
      <c r="E11" s="2" t="s">
        <v>266</v>
      </c>
      <c r="F11" s="2" t="s">
        <v>284</v>
      </c>
      <c r="G11" s="2" t="s">
        <v>93</v>
      </c>
      <c r="H11" s="2" t="s">
        <v>84</v>
      </c>
      <c r="I11" s="2" t="s">
        <v>20</v>
      </c>
    </row>
    <row r="12" spans="1:9" x14ac:dyDescent="0.25">
      <c r="A12" s="2" t="s">
        <v>30</v>
      </c>
      <c r="B12" s="2" t="s">
        <v>299</v>
      </c>
      <c r="C12" s="2" t="s">
        <v>300</v>
      </c>
      <c r="D12" s="2" t="s">
        <v>80</v>
      </c>
      <c r="E12" s="2" t="s">
        <v>270</v>
      </c>
      <c r="F12" s="2" t="s">
        <v>301</v>
      </c>
      <c r="G12" s="2" t="s">
        <v>94</v>
      </c>
      <c r="H12" s="2" t="s">
        <v>84</v>
      </c>
      <c r="I12" s="2" t="s">
        <v>20</v>
      </c>
    </row>
    <row r="13" spans="1:9" x14ac:dyDescent="0.25">
      <c r="A13" s="2" t="s">
        <v>260</v>
      </c>
      <c r="B13" s="2" t="s">
        <v>285</v>
      </c>
      <c r="C13" s="2" t="s">
        <v>261</v>
      </c>
      <c r="D13" s="2" t="s">
        <v>80</v>
      </c>
      <c r="E13" s="2" t="s">
        <v>266</v>
      </c>
      <c r="F13" s="2" t="s">
        <v>286</v>
      </c>
      <c r="G13" s="2" t="s">
        <v>95</v>
      </c>
      <c r="H13" s="2" t="s">
        <v>84</v>
      </c>
      <c r="I13" s="2" t="s">
        <v>20</v>
      </c>
    </row>
    <row r="16" spans="1:9" x14ac:dyDescent="0.25">
      <c r="A16" s="4" t="s">
        <v>67</v>
      </c>
    </row>
    <row r="17" spans="1:8" x14ac:dyDescent="0.25">
      <c r="A17" s="98" t="s">
        <v>96</v>
      </c>
      <c r="B17" s="99"/>
      <c r="C17" s="99"/>
      <c r="D17" s="99"/>
      <c r="E17" s="99"/>
    </row>
    <row r="18" spans="1:8" x14ac:dyDescent="0.25">
      <c r="A18" s="98" t="s">
        <v>97</v>
      </c>
      <c r="B18" s="99"/>
      <c r="C18" s="99"/>
      <c r="D18" s="99"/>
      <c r="E18" s="99"/>
    </row>
    <row r="19" spans="1:8" x14ac:dyDescent="0.25">
      <c r="A19" s="98" t="s">
        <v>98</v>
      </c>
      <c r="B19" s="99"/>
      <c r="C19" s="99"/>
      <c r="D19" s="99"/>
      <c r="E19" s="99"/>
    </row>
    <row r="22" spans="1:8" x14ac:dyDescent="0.25">
      <c r="A22" s="21"/>
      <c r="B22" s="21"/>
      <c r="C22" s="21"/>
      <c r="D22" s="21"/>
      <c r="E22" s="21"/>
      <c r="F22" s="21"/>
      <c r="G22" s="21"/>
      <c r="H22" s="21"/>
    </row>
    <row r="23" spans="1:8" x14ac:dyDescent="0.25">
      <c r="A23" s="25"/>
      <c r="B23" s="22"/>
      <c r="C23" s="22"/>
      <c r="D23" s="22"/>
      <c r="E23" s="22"/>
      <c r="F23" s="26"/>
      <c r="G23" s="22"/>
      <c r="H23" s="22"/>
    </row>
    <row r="24" spans="1:8" x14ac:dyDescent="0.25">
      <c r="A24" s="25"/>
      <c r="B24" s="22"/>
      <c r="C24" s="22"/>
      <c r="D24" s="22"/>
      <c r="E24" s="22"/>
      <c r="F24" s="26"/>
      <c r="G24" s="22"/>
      <c r="H24" s="22"/>
    </row>
    <row r="25" spans="1:8" x14ac:dyDescent="0.25">
      <c r="A25" s="25"/>
      <c r="B25" s="22"/>
      <c r="C25" s="22"/>
      <c r="D25" s="22"/>
      <c r="E25" s="22"/>
      <c r="F25" s="26"/>
      <c r="G25" s="22"/>
      <c r="H25" s="22"/>
    </row>
    <row r="26" spans="1:8" x14ac:dyDescent="0.25">
      <c r="A26" s="25"/>
      <c r="B26" s="22"/>
      <c r="C26" s="22"/>
      <c r="D26" s="22"/>
      <c r="E26" s="22"/>
      <c r="F26" s="26"/>
      <c r="G26" s="22"/>
      <c r="H26" s="22"/>
    </row>
    <row r="27" spans="1:8" x14ac:dyDescent="0.25">
      <c r="A27" s="25"/>
      <c r="B27" s="22"/>
      <c r="C27" s="22"/>
      <c r="D27" s="22"/>
      <c r="E27" s="22"/>
      <c r="F27" s="26"/>
      <c r="G27" s="22"/>
      <c r="H27" s="22"/>
    </row>
    <row r="28" spans="1:8" x14ac:dyDescent="0.25">
      <c r="A28" s="25"/>
      <c r="B28" s="22"/>
      <c r="C28" s="22"/>
      <c r="D28" s="22"/>
      <c r="E28" s="22"/>
      <c r="F28" s="26"/>
      <c r="G28" s="22"/>
      <c r="H28" s="22"/>
    </row>
    <row r="29" spans="1:8" x14ac:dyDescent="0.25">
      <c r="A29" s="25"/>
      <c r="B29" s="22"/>
      <c r="C29" s="22"/>
      <c r="D29" s="22"/>
      <c r="E29" s="22"/>
      <c r="F29" s="26"/>
      <c r="G29" s="22"/>
      <c r="H29" s="22"/>
    </row>
    <row r="30" spans="1:8" x14ac:dyDescent="0.25">
      <c r="A30" s="25"/>
      <c r="B30" s="22"/>
      <c r="C30" s="22"/>
      <c r="D30" s="22"/>
      <c r="E30" s="22"/>
      <c r="F30" s="26"/>
      <c r="G30" s="22"/>
      <c r="H30" s="22"/>
    </row>
    <row r="31" spans="1:8" x14ac:dyDescent="0.25">
      <c r="A31" s="25"/>
      <c r="B31" s="22"/>
      <c r="C31" s="22"/>
      <c r="D31" s="22"/>
      <c r="E31" s="22"/>
      <c r="F31" s="26"/>
      <c r="G31" s="22"/>
      <c r="H31" s="22"/>
    </row>
    <row r="32" spans="1:8" x14ac:dyDescent="0.25">
      <c r="A32" s="25"/>
      <c r="B32" s="22"/>
      <c r="C32" s="22"/>
      <c r="D32" s="22"/>
      <c r="E32" s="22"/>
      <c r="F32" s="26"/>
      <c r="G32" s="22"/>
      <c r="H32" s="22"/>
    </row>
  </sheetData>
  <mergeCells count="1">
    <mergeCell ref="A1:I1"/>
  </mergeCells>
  <phoneticPr fontId="10" type="noConversion"/>
  <conditionalFormatting sqref="A4:I13">
    <cfRule type="expression" dxfId="74" priority="37">
      <formula>$I4="Inactive"</formula>
    </cfRule>
    <cfRule type="expression" dxfId="73" priority="38">
      <formula>$H4="Preferred"</formula>
    </cfRule>
  </conditionalFormatting>
  <conditionalFormatting sqref="H14:H21">
    <cfRule type="expression" dxfId="72" priority="7">
      <formula>$H14="Under Review"</formula>
    </cfRule>
  </conditionalFormatting>
  <dataValidations count="5">
    <dataValidation type="list" showInputMessage="1" showErrorMessage="1" errorTitle="Invalid entry" error="Please select a value from the list." promptTitle="Supplier Type" prompt="Select supplier role." sqref="C33:D498 C14:D21" xr:uid="{00000000-0002-0000-0100-000000000000}">
      <formula1>"Manufacturer,Authorized Distributor,Local Trader"</formula1>
      <formula2>0</formula2>
    </dataValidation>
    <dataValidation type="list" showInputMessage="1" showErrorMessage="1" errorTitle="Invalid entry" error="Please select a value from the list." promptTitle="Supplier Rating" prompt="Reliability rating." sqref="H33:H498 H14:H21" xr:uid="{00000000-0002-0000-0100-000002000000}">
      <formula1>"Preferred,Approved,Under Review"</formula1>
      <formula2>0</formula2>
    </dataValidation>
    <dataValidation type="list" showInputMessage="1" showErrorMessage="1" sqref="C4:C13" xr:uid="{67948513-D535-4FAB-BF78-4189F84188ED}">
      <formula1>"Manufacturer,Authorized Distributor,Local Distributor,Industrial Trading Company"</formula1>
    </dataValidation>
    <dataValidation type="list" showInputMessage="1" showErrorMessage="1" errorTitle="Invalid entry" error="Please select a value from the list." promptTitle="Supplier Rating" prompt="Reliability rating." sqref="H4:H13" xr:uid="{5147AF7B-B7CE-4F01-92D0-FC405D810025}">
      <formula1>"Preferred,Approved,Conditional,Restricted"</formula1>
    </dataValidation>
    <dataValidation type="list" showInputMessage="1" showErrorMessage="1" errorTitle="Invalid entry" error="Please select a value from the list." promptTitle="Status" prompt="Supplier status." sqref="I4:I498" xr:uid="{00000000-0002-0000-0100-000003000000}">
      <formula1>"Active,Inactive"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5"/>
  <sheetViews>
    <sheetView showGridLines="0" zoomScale="90" zoomScaleNormal="90" workbookViewId="0">
      <pane ySplit="3" topLeftCell="A4" activePane="bottomLeft" state="frozen"/>
      <selection pane="bottomLeft" activeCell="B29" sqref="B29"/>
    </sheetView>
  </sheetViews>
  <sheetFormatPr defaultColWidth="8.7109375" defaultRowHeight="15" x14ac:dyDescent="0.25"/>
  <cols>
    <col min="1" max="1" width="16" customWidth="1"/>
    <col min="2" max="2" width="44.140625" bestFit="1" customWidth="1"/>
    <col min="3" max="3" width="20" customWidth="1"/>
    <col min="4" max="4" width="26" customWidth="1"/>
    <col min="5" max="5" width="20.28515625" bestFit="1" customWidth="1"/>
    <col min="6" max="6" width="16" customWidth="1"/>
    <col min="7" max="7" width="12.7109375" customWidth="1"/>
  </cols>
  <sheetData>
    <row r="1" spans="1:8" ht="24" customHeight="1" x14ac:dyDescent="0.25">
      <c r="A1" s="109" t="s">
        <v>99</v>
      </c>
      <c r="B1" s="109"/>
      <c r="C1" s="109"/>
      <c r="D1" s="109"/>
      <c r="E1" s="109"/>
      <c r="F1" s="109"/>
      <c r="G1" s="109"/>
      <c r="H1" s="109"/>
    </row>
    <row r="3" spans="1:8" ht="31.5" customHeight="1" x14ac:dyDescent="0.25">
      <c r="A3" s="1" t="s">
        <v>100</v>
      </c>
      <c r="B3" s="1" t="s">
        <v>101</v>
      </c>
      <c r="C3" s="1" t="s">
        <v>102</v>
      </c>
      <c r="D3" s="1" t="s">
        <v>287</v>
      </c>
      <c r="E3" s="1" t="s">
        <v>103</v>
      </c>
      <c r="F3" s="1" t="s">
        <v>104</v>
      </c>
      <c r="G3" s="1" t="s">
        <v>105</v>
      </c>
      <c r="H3" s="1" t="s">
        <v>13</v>
      </c>
    </row>
    <row r="4" spans="1:8" x14ac:dyDescent="0.25">
      <c r="A4" s="2" t="s">
        <v>238</v>
      </c>
      <c r="B4" s="2" t="s">
        <v>351</v>
      </c>
      <c r="C4" s="2" t="s">
        <v>108</v>
      </c>
      <c r="D4" s="2" t="s">
        <v>288</v>
      </c>
      <c r="E4" s="2" t="s">
        <v>19</v>
      </c>
      <c r="F4" s="2" t="s">
        <v>109</v>
      </c>
      <c r="G4" s="3">
        <v>150</v>
      </c>
      <c r="H4" s="2" t="s">
        <v>20</v>
      </c>
    </row>
    <row r="5" spans="1:8" x14ac:dyDescent="0.25">
      <c r="A5" s="2" t="s">
        <v>289</v>
      </c>
      <c r="B5" s="2" t="s">
        <v>352</v>
      </c>
      <c r="C5" s="2" t="s">
        <v>108</v>
      </c>
      <c r="D5" s="2" t="s">
        <v>288</v>
      </c>
      <c r="E5" s="2" t="s">
        <v>19</v>
      </c>
      <c r="F5" s="2" t="s">
        <v>109</v>
      </c>
      <c r="G5" s="3">
        <v>150</v>
      </c>
      <c r="H5" s="2" t="s">
        <v>20</v>
      </c>
    </row>
    <row r="6" spans="1:8" x14ac:dyDescent="0.25">
      <c r="A6" s="2" t="s">
        <v>244</v>
      </c>
      <c r="B6" s="2" t="s">
        <v>353</v>
      </c>
      <c r="C6" s="2" t="s">
        <v>108</v>
      </c>
      <c r="D6" s="2" t="s">
        <v>288</v>
      </c>
      <c r="E6" s="2" t="s">
        <v>19</v>
      </c>
      <c r="F6" s="2" t="s">
        <v>109</v>
      </c>
      <c r="G6" s="3">
        <v>150</v>
      </c>
      <c r="H6" s="2" t="s">
        <v>20</v>
      </c>
    </row>
    <row r="7" spans="1:8" x14ac:dyDescent="0.25">
      <c r="A7" s="2" t="s">
        <v>252</v>
      </c>
      <c r="B7" s="2" t="s">
        <v>354</v>
      </c>
      <c r="C7" s="2" t="s">
        <v>108</v>
      </c>
      <c r="D7" s="2" t="s">
        <v>288</v>
      </c>
      <c r="E7" s="2" t="s">
        <v>19</v>
      </c>
      <c r="F7" s="2" t="s">
        <v>109</v>
      </c>
      <c r="G7" s="3">
        <v>150</v>
      </c>
      <c r="H7" s="2" t="s">
        <v>20</v>
      </c>
    </row>
    <row r="8" spans="1:8" x14ac:dyDescent="0.25">
      <c r="A8" s="2" t="s">
        <v>249</v>
      </c>
      <c r="B8" s="2" t="s">
        <v>355</v>
      </c>
      <c r="C8" s="2" t="s">
        <v>108</v>
      </c>
      <c r="D8" s="2" t="s">
        <v>288</v>
      </c>
      <c r="E8" s="2" t="s">
        <v>19</v>
      </c>
      <c r="F8" s="2" t="s">
        <v>109</v>
      </c>
      <c r="G8" s="3">
        <v>150</v>
      </c>
      <c r="H8" s="2" t="s">
        <v>20</v>
      </c>
    </row>
    <row r="9" spans="1:8" x14ac:dyDescent="0.25">
      <c r="A9" s="2" t="s">
        <v>250</v>
      </c>
      <c r="B9" s="2" t="s">
        <v>356</v>
      </c>
      <c r="C9" s="2" t="s">
        <v>108</v>
      </c>
      <c r="D9" s="2" t="s">
        <v>288</v>
      </c>
      <c r="E9" s="2" t="s">
        <v>19</v>
      </c>
      <c r="F9" s="2" t="s">
        <v>109</v>
      </c>
      <c r="G9" s="3">
        <v>150</v>
      </c>
      <c r="H9" s="2" t="s">
        <v>20</v>
      </c>
    </row>
    <row r="10" spans="1:8" x14ac:dyDescent="0.25">
      <c r="A10" s="2" t="s">
        <v>239</v>
      </c>
      <c r="B10" s="2" t="s">
        <v>392</v>
      </c>
      <c r="C10" s="2" t="s">
        <v>108</v>
      </c>
      <c r="D10" s="2" t="s">
        <v>288</v>
      </c>
      <c r="E10" s="2" t="s">
        <v>19</v>
      </c>
      <c r="F10" s="2" t="s">
        <v>109</v>
      </c>
      <c r="G10" s="3">
        <v>150</v>
      </c>
      <c r="H10" s="2" t="s">
        <v>20</v>
      </c>
    </row>
    <row r="11" spans="1:8" x14ac:dyDescent="0.25">
      <c r="A11" s="2" t="s">
        <v>243</v>
      </c>
      <c r="B11" s="2" t="s">
        <v>391</v>
      </c>
      <c r="C11" s="2" t="s">
        <v>108</v>
      </c>
      <c r="D11" s="2" t="s">
        <v>288</v>
      </c>
      <c r="E11" s="2" t="s">
        <v>19</v>
      </c>
      <c r="F11" s="2" t="s">
        <v>109</v>
      </c>
      <c r="G11" s="3">
        <v>150</v>
      </c>
      <c r="H11" s="2" t="s">
        <v>20</v>
      </c>
    </row>
    <row r="12" spans="1:8" x14ac:dyDescent="0.25">
      <c r="A12" s="2" t="s">
        <v>251</v>
      </c>
      <c r="B12" s="2" t="s">
        <v>393</v>
      </c>
      <c r="C12" s="2" t="s">
        <v>108</v>
      </c>
      <c r="D12" s="2" t="s">
        <v>288</v>
      </c>
      <c r="E12" s="2" t="s">
        <v>19</v>
      </c>
      <c r="F12" s="2" t="s">
        <v>109</v>
      </c>
      <c r="G12" s="3">
        <v>150</v>
      </c>
      <c r="H12" s="2" t="s">
        <v>20</v>
      </c>
    </row>
    <row r="13" spans="1:8" x14ac:dyDescent="0.25">
      <c r="A13" s="2" t="s">
        <v>242</v>
      </c>
      <c r="B13" s="2" t="s">
        <v>388</v>
      </c>
      <c r="C13" s="2" t="s">
        <v>108</v>
      </c>
      <c r="D13" s="2" t="s">
        <v>290</v>
      </c>
      <c r="E13" s="2" t="s">
        <v>24</v>
      </c>
      <c r="F13" s="2" t="s">
        <v>109</v>
      </c>
      <c r="G13" s="3">
        <v>75</v>
      </c>
      <c r="H13" s="2" t="s">
        <v>20</v>
      </c>
    </row>
    <row r="14" spans="1:8" x14ac:dyDescent="0.25">
      <c r="A14" s="2" t="s">
        <v>387</v>
      </c>
      <c r="B14" s="2" t="s">
        <v>357</v>
      </c>
      <c r="C14" s="2" t="s">
        <v>108</v>
      </c>
      <c r="D14" s="2" t="s">
        <v>290</v>
      </c>
      <c r="E14" s="2" t="s">
        <v>24</v>
      </c>
      <c r="F14" s="2" t="s">
        <v>109</v>
      </c>
      <c r="G14" s="3">
        <v>75</v>
      </c>
      <c r="H14" s="2" t="s">
        <v>20</v>
      </c>
    </row>
    <row r="15" spans="1:8" x14ac:dyDescent="0.25">
      <c r="A15" s="2" t="s">
        <v>246</v>
      </c>
      <c r="B15" s="2" t="s">
        <v>358</v>
      </c>
      <c r="C15" s="2" t="s">
        <v>108</v>
      </c>
      <c r="D15" s="2" t="s">
        <v>290</v>
      </c>
      <c r="E15" s="2" t="s">
        <v>24</v>
      </c>
      <c r="F15" s="2" t="s">
        <v>109</v>
      </c>
      <c r="G15" s="3">
        <v>75</v>
      </c>
      <c r="H15" s="2" t="s">
        <v>20</v>
      </c>
    </row>
    <row r="16" spans="1:8" x14ac:dyDescent="0.25">
      <c r="A16" s="2" t="s">
        <v>247</v>
      </c>
      <c r="B16" s="2" t="s">
        <v>389</v>
      </c>
      <c r="C16" s="2" t="s">
        <v>108</v>
      </c>
      <c r="D16" s="2" t="s">
        <v>290</v>
      </c>
      <c r="E16" s="2" t="s">
        <v>24</v>
      </c>
      <c r="F16" s="2" t="s">
        <v>109</v>
      </c>
      <c r="G16" s="3">
        <v>90</v>
      </c>
      <c r="H16" s="2" t="s">
        <v>20</v>
      </c>
    </row>
    <row r="17" spans="1:8" x14ac:dyDescent="0.25">
      <c r="A17" s="2" t="s">
        <v>253</v>
      </c>
      <c r="B17" s="2" t="s">
        <v>390</v>
      </c>
      <c r="C17" s="2" t="s">
        <v>108</v>
      </c>
      <c r="D17" s="2" t="s">
        <v>290</v>
      </c>
      <c r="E17" s="2" t="s">
        <v>24</v>
      </c>
      <c r="F17" s="2" t="s">
        <v>109</v>
      </c>
      <c r="G17">
        <v>90</v>
      </c>
      <c r="H17" s="2" t="s">
        <v>20</v>
      </c>
    </row>
    <row r="18" spans="1:8" x14ac:dyDescent="0.25">
      <c r="A18" s="2" t="s">
        <v>347</v>
      </c>
      <c r="B18" s="2" t="s">
        <v>349</v>
      </c>
      <c r="C18" s="2" t="s">
        <v>108</v>
      </c>
      <c r="D18" s="2" t="s">
        <v>386</v>
      </c>
      <c r="E18" s="2" t="s">
        <v>24</v>
      </c>
      <c r="F18" s="2" t="s">
        <v>109</v>
      </c>
      <c r="G18" s="3">
        <v>120</v>
      </c>
      <c r="H18" s="2" t="s">
        <v>20</v>
      </c>
    </row>
    <row r="19" spans="1:8" x14ac:dyDescent="0.25">
      <c r="A19" s="2" t="s">
        <v>348</v>
      </c>
      <c r="B19" s="2" t="s">
        <v>350</v>
      </c>
      <c r="C19" s="2" t="s">
        <v>108</v>
      </c>
      <c r="D19" s="2" t="s">
        <v>386</v>
      </c>
      <c r="E19" s="2" t="s">
        <v>24</v>
      </c>
      <c r="F19" s="2" t="s">
        <v>109</v>
      </c>
      <c r="G19" s="3">
        <v>120</v>
      </c>
      <c r="H19" s="2" t="s">
        <v>20</v>
      </c>
    </row>
    <row r="20" spans="1:8" x14ac:dyDescent="0.25">
      <c r="A20" s="2" t="s">
        <v>240</v>
      </c>
      <c r="B20" s="2" t="s">
        <v>367</v>
      </c>
      <c r="C20" s="2" t="s">
        <v>108</v>
      </c>
      <c r="D20" s="2" t="s">
        <v>291</v>
      </c>
      <c r="E20" s="2" t="s">
        <v>19</v>
      </c>
      <c r="F20" s="2" t="s">
        <v>109</v>
      </c>
      <c r="G20" s="3">
        <v>10000</v>
      </c>
      <c r="H20" s="2" t="s">
        <v>20</v>
      </c>
    </row>
    <row r="21" spans="1:8" x14ac:dyDescent="0.25">
      <c r="A21" s="2" t="s">
        <v>248</v>
      </c>
      <c r="B21" s="2" t="s">
        <v>368</v>
      </c>
      <c r="C21" s="2" t="s">
        <v>108</v>
      </c>
      <c r="D21" s="2" t="s">
        <v>291</v>
      </c>
      <c r="E21" s="2" t="s">
        <v>19</v>
      </c>
      <c r="F21" s="2" t="s">
        <v>109</v>
      </c>
      <c r="G21" s="3">
        <v>10000</v>
      </c>
      <c r="H21" s="2" t="s">
        <v>20</v>
      </c>
    </row>
    <row r="22" spans="1:8" x14ac:dyDescent="0.25">
      <c r="A22" s="2" t="s">
        <v>241</v>
      </c>
      <c r="B22" s="2" t="s">
        <v>365</v>
      </c>
      <c r="C22" s="2" t="s">
        <v>108</v>
      </c>
      <c r="D22" s="2" t="s">
        <v>292</v>
      </c>
      <c r="E22" s="2" t="s">
        <v>35</v>
      </c>
      <c r="F22" s="2" t="s">
        <v>109</v>
      </c>
      <c r="G22" s="3">
        <v>300</v>
      </c>
      <c r="H22" s="2" t="s">
        <v>20</v>
      </c>
    </row>
    <row r="23" spans="1:8" x14ac:dyDescent="0.25">
      <c r="A23" s="2" t="s">
        <v>245</v>
      </c>
      <c r="B23" s="2" t="s">
        <v>366</v>
      </c>
      <c r="C23" s="2" t="s">
        <v>108</v>
      </c>
      <c r="D23" s="2" t="s">
        <v>292</v>
      </c>
      <c r="E23" s="2" t="s">
        <v>35</v>
      </c>
      <c r="F23" s="2" t="s">
        <v>109</v>
      </c>
      <c r="G23" s="3">
        <v>300</v>
      </c>
      <c r="H23" s="2" t="s">
        <v>20</v>
      </c>
    </row>
    <row r="24" spans="1:8" x14ac:dyDescent="0.25">
      <c r="A24" s="2" t="s">
        <v>470</v>
      </c>
      <c r="B24" s="2" t="s">
        <v>471</v>
      </c>
      <c r="C24" s="2" t="s">
        <v>108</v>
      </c>
      <c r="D24" s="2" t="s">
        <v>292</v>
      </c>
      <c r="E24" s="2" t="s">
        <v>35</v>
      </c>
      <c r="F24" s="2" t="s">
        <v>109</v>
      </c>
      <c r="G24" s="3">
        <v>300</v>
      </c>
      <c r="H24" s="2" t="s">
        <v>20</v>
      </c>
    </row>
    <row r="25" spans="1:8" x14ac:dyDescent="0.25">
      <c r="A25" s="2" t="s">
        <v>359</v>
      </c>
      <c r="B25" s="2" t="s">
        <v>360</v>
      </c>
      <c r="C25" s="2" t="s">
        <v>106</v>
      </c>
      <c r="D25" s="2" t="s">
        <v>293</v>
      </c>
      <c r="E25" s="2" t="s">
        <v>19</v>
      </c>
      <c r="F25" s="2" t="s">
        <v>107</v>
      </c>
      <c r="G25" s="3">
        <v>30</v>
      </c>
      <c r="H25" s="2" t="s">
        <v>20</v>
      </c>
    </row>
    <row r="26" spans="1:8" x14ac:dyDescent="0.25">
      <c r="A26" s="2" t="s">
        <v>362</v>
      </c>
      <c r="B26" s="2" t="s">
        <v>361</v>
      </c>
      <c r="C26" s="2" t="s">
        <v>106</v>
      </c>
      <c r="D26" s="2" t="s">
        <v>293</v>
      </c>
      <c r="E26" s="2" t="s">
        <v>19</v>
      </c>
      <c r="F26" s="2" t="s">
        <v>107</v>
      </c>
      <c r="G26" s="3">
        <v>30</v>
      </c>
      <c r="H26" s="2" t="s">
        <v>20</v>
      </c>
    </row>
    <row r="27" spans="1:8" x14ac:dyDescent="0.25">
      <c r="A27" s="2" t="s">
        <v>363</v>
      </c>
      <c r="B27" s="2" t="s">
        <v>369</v>
      </c>
      <c r="C27" s="2" t="s">
        <v>111</v>
      </c>
      <c r="D27" s="2" t="s">
        <v>294</v>
      </c>
      <c r="E27" s="2" t="s">
        <v>19</v>
      </c>
      <c r="F27" s="2" t="s">
        <v>107</v>
      </c>
      <c r="G27" s="3">
        <v>30</v>
      </c>
      <c r="H27" s="2" t="s">
        <v>20</v>
      </c>
    </row>
    <row r="28" spans="1:8" x14ac:dyDescent="0.25">
      <c r="A28" s="2" t="s">
        <v>364</v>
      </c>
      <c r="B28" s="2" t="s">
        <v>370</v>
      </c>
      <c r="C28" s="2" t="s">
        <v>110</v>
      </c>
      <c r="D28" s="2" t="s">
        <v>295</v>
      </c>
      <c r="E28" s="2" t="s">
        <v>19</v>
      </c>
      <c r="F28" s="2" t="s">
        <v>107</v>
      </c>
      <c r="G28" s="3">
        <v>20</v>
      </c>
      <c r="H28" s="2" t="s">
        <v>20</v>
      </c>
    </row>
    <row r="31" spans="1:8" x14ac:dyDescent="0.25">
      <c r="A31" s="4" t="s">
        <v>67</v>
      </c>
    </row>
    <row r="32" spans="1:8" x14ac:dyDescent="0.25">
      <c r="A32" s="100" t="s">
        <v>469</v>
      </c>
    </row>
    <row r="33" spans="1:10" x14ac:dyDescent="0.25">
      <c r="A33" s="5" t="s">
        <v>112</v>
      </c>
    </row>
    <row r="34" spans="1:10" x14ac:dyDescent="0.25">
      <c r="A34" s="5" t="s">
        <v>113</v>
      </c>
    </row>
    <row r="35" spans="1:10" x14ac:dyDescent="0.25">
      <c r="A35" s="5" t="s">
        <v>114</v>
      </c>
    </row>
    <row r="37" spans="1:10" x14ac:dyDescent="0.25">
      <c r="A37" s="21"/>
      <c r="B37" s="21"/>
      <c r="C37" s="21"/>
      <c r="D37" s="21"/>
      <c r="E37" s="21"/>
      <c r="F37" s="23"/>
      <c r="G37" s="21"/>
    </row>
    <row r="38" spans="1:10" x14ac:dyDescent="0.25">
      <c r="A38" s="22"/>
      <c r="B38" s="22"/>
      <c r="C38" s="22"/>
      <c r="D38" s="22"/>
      <c r="E38" s="22"/>
      <c r="F38" s="27"/>
      <c r="G38" s="22"/>
    </row>
    <row r="39" spans="1:10" x14ac:dyDescent="0.25">
      <c r="A39" s="22"/>
      <c r="B39" s="22"/>
      <c r="C39" s="22"/>
      <c r="D39" s="22"/>
      <c r="E39" s="22"/>
      <c r="F39" s="27"/>
      <c r="G39" s="22"/>
    </row>
    <row r="40" spans="1:10" x14ac:dyDescent="0.25">
      <c r="A40" s="22"/>
      <c r="B40" s="22"/>
      <c r="C40" s="22"/>
      <c r="D40" s="22"/>
      <c r="E40" s="22"/>
      <c r="F40" s="27"/>
      <c r="G40" s="22"/>
    </row>
    <row r="41" spans="1:10" x14ac:dyDescent="0.25">
      <c r="A41" s="22"/>
      <c r="B41" s="22"/>
      <c r="C41" s="22"/>
      <c r="D41" s="22"/>
      <c r="E41" s="22"/>
      <c r="F41" s="27"/>
      <c r="G41" s="22"/>
    </row>
    <row r="42" spans="1:10" x14ac:dyDescent="0.25">
      <c r="A42" s="22"/>
      <c r="B42" s="22"/>
      <c r="C42" s="22"/>
      <c r="D42" s="22"/>
      <c r="E42" s="22"/>
      <c r="F42" s="27"/>
      <c r="G42" s="22"/>
    </row>
    <row r="43" spans="1:10" x14ac:dyDescent="0.25">
      <c r="A43" s="22"/>
      <c r="B43" s="22"/>
      <c r="C43" s="22"/>
      <c r="D43" s="22"/>
      <c r="E43" s="22"/>
      <c r="F43" s="27"/>
      <c r="G43" s="22"/>
    </row>
    <row r="44" spans="1:10" x14ac:dyDescent="0.25">
      <c r="A44" s="22"/>
      <c r="B44" s="22"/>
      <c r="C44" s="22"/>
      <c r="D44" s="22"/>
      <c r="E44" s="22"/>
      <c r="F44" s="27"/>
      <c r="G44" s="22"/>
    </row>
    <row r="45" spans="1:10" x14ac:dyDescent="0.25">
      <c r="A45" s="22"/>
      <c r="B45" s="22"/>
      <c r="C45" s="22"/>
      <c r="D45" s="22"/>
      <c r="E45" s="22"/>
      <c r="F45" s="27"/>
      <c r="G45" s="22"/>
    </row>
    <row r="46" spans="1:10" x14ac:dyDescent="0.25">
      <c r="C46" s="25"/>
      <c r="D46" s="22"/>
      <c r="E46" s="22"/>
      <c r="F46" s="22"/>
      <c r="G46" s="22"/>
      <c r="H46" s="22"/>
      <c r="I46" s="27"/>
      <c r="J46" s="22"/>
    </row>
    <row r="47" spans="1:10" x14ac:dyDescent="0.25">
      <c r="C47" s="25"/>
      <c r="D47" s="22"/>
      <c r="E47" s="22"/>
      <c r="F47" s="22"/>
      <c r="G47" s="22"/>
      <c r="H47" s="22"/>
      <c r="I47" s="27"/>
      <c r="J47" s="22"/>
    </row>
    <row r="48" spans="1:10" x14ac:dyDescent="0.25">
      <c r="C48" s="25"/>
      <c r="D48" s="22"/>
      <c r="E48" s="22"/>
      <c r="F48" s="22"/>
      <c r="G48" s="22"/>
      <c r="H48" s="22"/>
      <c r="I48" s="27"/>
      <c r="J48" s="22"/>
    </row>
    <row r="49" spans="3:10" x14ac:dyDescent="0.25">
      <c r="C49" s="25"/>
      <c r="D49" s="22"/>
      <c r="E49" s="22"/>
      <c r="F49" s="22"/>
      <c r="G49" s="22"/>
      <c r="H49" s="22"/>
      <c r="I49" s="27"/>
      <c r="J49" s="22"/>
    </row>
    <row r="50" spans="3:10" x14ac:dyDescent="0.25">
      <c r="C50" s="25"/>
      <c r="D50" s="22"/>
      <c r="E50" s="22"/>
      <c r="F50" s="22"/>
      <c r="G50" s="22"/>
      <c r="H50" s="22"/>
      <c r="I50" s="27"/>
      <c r="J50" s="22"/>
    </row>
    <row r="51" spans="3:10" x14ac:dyDescent="0.25">
      <c r="C51" s="25"/>
      <c r="D51" s="22"/>
      <c r="E51" s="22"/>
      <c r="F51" s="22"/>
      <c r="G51" s="22"/>
      <c r="H51" s="22"/>
      <c r="I51" s="27"/>
      <c r="J51" s="22"/>
    </row>
    <row r="52" spans="3:10" x14ac:dyDescent="0.25">
      <c r="C52" s="25"/>
      <c r="D52" s="22"/>
      <c r="E52" s="22"/>
      <c r="F52" s="22"/>
      <c r="G52" s="22"/>
      <c r="H52" s="22"/>
      <c r="I52" s="27"/>
      <c r="J52" s="22"/>
    </row>
    <row r="53" spans="3:10" x14ac:dyDescent="0.25">
      <c r="C53" s="25"/>
      <c r="D53" s="22"/>
      <c r="E53" s="22"/>
      <c r="F53" s="22"/>
      <c r="G53" s="22"/>
      <c r="H53" s="22"/>
      <c r="I53" s="27"/>
      <c r="J53" s="22"/>
    </row>
    <row r="54" spans="3:10" x14ac:dyDescent="0.25">
      <c r="C54" s="25"/>
      <c r="D54" s="22"/>
      <c r="E54" s="22"/>
      <c r="F54" s="22"/>
      <c r="G54" s="22"/>
      <c r="H54" s="22"/>
      <c r="I54" s="27"/>
      <c r="J54" s="22"/>
    </row>
    <row r="55" spans="3:10" x14ac:dyDescent="0.25">
      <c r="C55" s="25"/>
      <c r="D55" s="22"/>
      <c r="E55" s="22"/>
      <c r="F55" s="22"/>
      <c r="G55" s="22"/>
      <c r="H55" s="22"/>
      <c r="I55" s="27"/>
      <c r="J55" s="22"/>
    </row>
  </sheetData>
  <mergeCells count="1">
    <mergeCell ref="A1:H1"/>
  </mergeCells>
  <phoneticPr fontId="10" type="noConversion"/>
  <conditionalFormatting sqref="A29:G36 A46:B55 A56:G512">
    <cfRule type="expression" dxfId="71" priority="2">
      <formula>$G29="Inactive"</formula>
    </cfRule>
    <cfRule type="expression" dxfId="70" priority="3">
      <formula>$D29="Hazardous"</formula>
    </cfRule>
  </conditionalFormatting>
  <conditionalFormatting sqref="A4:H15 A16:F17 H16:H17 A18:H28">
    <cfRule type="expression" dxfId="69" priority="41">
      <formula>$H4="Inactive"</formula>
    </cfRule>
    <cfRule type="expression" dxfId="68" priority="42">
      <formula>$E4="Hazardous"</formula>
    </cfRule>
  </conditionalFormatting>
  <conditionalFormatting sqref="E29:E36 E56:E512">
    <cfRule type="expression" dxfId="67" priority="4">
      <formula>$E29="No"</formula>
    </cfRule>
  </conditionalFormatting>
  <conditionalFormatting sqref="F4:F28">
    <cfRule type="expression" dxfId="66" priority="46">
      <formula>$F4="No"</formula>
    </cfRule>
  </conditionalFormatting>
  <conditionalFormatting sqref="G16">
    <cfRule type="expression" dxfId="65" priority="105">
      <formula>$H17="Inactive"</formula>
    </cfRule>
    <cfRule type="expression" dxfId="64" priority="106">
      <formula>$E17="Hazardous"</formula>
    </cfRule>
  </conditionalFormatting>
  <dataValidations count="6">
    <dataValidation type="list" showInputMessage="1" showErrorMessage="1" errorTitle="Invalid entry" error="Please select a value from the list." promptTitle="Zone" prompt="Functional workflow zone." sqref="C56:C512 C4:C36" xr:uid="{00000000-0002-0000-0200-000000000000}">
      <formula1>"Receiving,Storage,Quarantine/QC Hold,Shipping/Staging"</formula1>
      <formula2>0</formula2>
    </dataValidation>
    <dataValidation type="list" showInputMessage="1" showErrorMessage="1" errorTitle="Invalid entry" error="Please select a value from the list." promptTitle="Pickable Flag" prompt="Usable as picking source?" sqref="E56:E512 E29:E36 F4:F28" xr:uid="{00000000-0002-0000-0200-000002000000}">
      <formula1>"Yes,No"</formula1>
      <formula2>0</formula2>
    </dataValidation>
    <dataValidation type="list" showInputMessage="1" showErrorMessage="1" errorTitle="Invalid entry" error="Please select a value from the list." promptTitle="Status" prompt="Location status." sqref="G56:G512 G29:G36 H4:H28" xr:uid="{00000000-0002-0000-0200-000003000000}">
      <formula1>"Active,Inactive"</formula1>
      <formula2>0</formula2>
    </dataValidation>
    <dataValidation type="list" showInputMessage="1" showErrorMessage="1" errorTitle="Invalid entry" error="Please select a value from the list." promptTitle="Storage/Handling Requirement" prompt="Physical handling requirement." sqref="D56:D512 D29:D36" xr:uid="{00000000-0002-0000-0200-000001000000}">
      <formula1>"Standard,Heavy/Bulk,Hazardous,Fragile"</formula1>
      <formula2>0</formula2>
    </dataValidation>
    <dataValidation type="list" showInputMessage="1" showErrorMessage="1" errorTitle="Invalid Location Type" error="Please select a valid option from the list" promptTitle="Location Type" prompt="Storage type category." sqref="D4:D28" xr:uid="{584B25A9-0209-46F1-BE92-6AB0377E4FC7}">
      <formula1>"Standard Rack,Heavy Duty Rack,Bulk Storage,Consumables Rack,Chemical Storage,Receiving Dock,Staging Area,Quarantine Area"</formula1>
    </dataValidation>
    <dataValidation type="list" showInputMessage="1" showErrorMessage="1" errorTitle="Invalid entry" error="Please select a value from the list." promptTitle="Storage/Handling Requirement" prompt="Physical handling requirement." sqref="E4:E28" xr:uid="{073C150B-5FE0-4A89-88C2-3357DB09465A}">
      <formula1>"Standard,Heavy/Bulk,Hazardous"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79"/>
  <sheetViews>
    <sheetView showGridLines="0" zoomScaleNormal="100" workbookViewId="0">
      <pane ySplit="3" topLeftCell="A4" activePane="bottomLeft" state="frozen"/>
      <selection pane="bottomLeft" activeCell="A2" sqref="A2"/>
    </sheetView>
  </sheetViews>
  <sheetFormatPr defaultColWidth="8.7109375" defaultRowHeight="15" x14ac:dyDescent="0.25"/>
  <cols>
    <col min="1" max="1" width="14" customWidth="1"/>
    <col min="2" max="2" width="8" customWidth="1"/>
    <col min="3" max="4" width="12" customWidth="1"/>
    <col min="5" max="5" width="32.42578125" bestFit="1" customWidth="1"/>
    <col min="6" max="6" width="12" customWidth="1"/>
    <col min="7" max="7" width="30" customWidth="1"/>
    <col min="8" max="8" width="12" customWidth="1"/>
    <col min="9" max="9" width="10.28515625" customWidth="1"/>
    <col min="10" max="10" width="14.42578125" bestFit="1" customWidth="1"/>
    <col min="11" max="11" width="17.85546875" style="32" customWidth="1"/>
    <col min="12" max="12" width="12" customWidth="1"/>
    <col min="13" max="13" width="11.5703125" customWidth="1"/>
    <col min="14" max="14" width="15.28515625" customWidth="1"/>
    <col min="15" max="15" width="12.28515625" customWidth="1"/>
    <col min="16" max="16" width="14.7109375" customWidth="1"/>
    <col min="17" max="17" width="16" customWidth="1"/>
    <col min="18" max="18" width="33.5703125" customWidth="1"/>
    <col min="19" max="19" width="18" customWidth="1"/>
  </cols>
  <sheetData>
    <row r="1" spans="1:19" ht="24" customHeight="1" x14ac:dyDescent="0.25">
      <c r="A1" s="109" t="s">
        <v>115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</row>
    <row r="3" spans="1:19" ht="31.5" customHeight="1" x14ac:dyDescent="0.25">
      <c r="A3" s="1" t="s">
        <v>116</v>
      </c>
      <c r="B3" s="1" t="s">
        <v>117</v>
      </c>
      <c r="C3" s="1" t="s">
        <v>118</v>
      </c>
      <c r="D3" s="1" t="s">
        <v>72</v>
      </c>
      <c r="E3" s="1" t="s">
        <v>73</v>
      </c>
      <c r="F3" s="1" t="s">
        <v>1</v>
      </c>
      <c r="G3" s="1" t="s">
        <v>2</v>
      </c>
      <c r="H3" s="1" t="s">
        <v>5</v>
      </c>
      <c r="I3" s="1" t="s">
        <v>298</v>
      </c>
      <c r="J3" s="1" t="s">
        <v>119</v>
      </c>
      <c r="K3" s="30" t="s">
        <v>120</v>
      </c>
      <c r="L3" s="1" t="s">
        <v>121</v>
      </c>
      <c r="M3" s="1" t="s">
        <v>12</v>
      </c>
      <c r="N3" s="1" t="s">
        <v>122</v>
      </c>
      <c r="O3" s="1" t="s">
        <v>296</v>
      </c>
      <c r="P3" s="1" t="s">
        <v>297</v>
      </c>
      <c r="Q3" s="1" t="s">
        <v>123</v>
      </c>
      <c r="R3" s="1" t="s">
        <v>124</v>
      </c>
      <c r="S3" s="1" t="s">
        <v>125</v>
      </c>
    </row>
    <row r="4" spans="1:19" x14ac:dyDescent="0.25">
      <c r="A4" s="6" t="s">
        <v>126</v>
      </c>
      <c r="B4" s="7">
        <v>10</v>
      </c>
      <c r="C4" s="8">
        <v>46235</v>
      </c>
      <c r="D4" s="6" t="s">
        <v>258</v>
      </c>
      <c r="E4" s="9" t="str">
        <f>VLOOKUP(tbl_PurchaseOrder[[#This Row],[Supplier Code]],tbl_MasterSupplier[],2,FALSE)</f>
        <v>Global Hydraulic Solutions Pte Ltd</v>
      </c>
      <c r="F4" s="6" t="s">
        <v>14</v>
      </c>
      <c r="G4" s="9" t="str">
        <f>_xlfn.XLOOKUP(tbl_PurchaseOrder[[#This Row],[Material Code]],tbl_MasterMaterial[Material Code],tbl_MasterMaterial[Material Description])</f>
        <v>Hydraulic Cylinder Seal Kit 80mm</v>
      </c>
      <c r="H4" s="14" t="s">
        <v>17</v>
      </c>
      <c r="I4" s="11">
        <v>80</v>
      </c>
      <c r="J4" s="33">
        <v>730000</v>
      </c>
      <c r="K4" s="31">
        <f>tbl_PurchaseOrder[[#This Row],[Ordered Qty]]*J4</f>
        <v>58400000</v>
      </c>
      <c r="L4" s="14" t="s">
        <v>128</v>
      </c>
      <c r="M4" s="12">
        <f>_xlfn.XLOOKUP(tbl_PurchaseOrder[[#This Row],[Material Code]],tbl_MasterMaterial[Material Code],tbl_MasterMaterial[Lead Time (Days)])</f>
        <v>14</v>
      </c>
      <c r="N4" s="15">
        <f>tbl_PurchaseOrder[[#This Row],[PO Date]]+tbl_PurchaseOrder[[#This Row],[Lead Time (Days)]]</f>
        <v>46249</v>
      </c>
      <c r="O4" s="3">
        <f>SUMIFS(tbl_GoodsReceipt[Received Qty],tbl_GoodsReceipt[PO Line Key (Helper)],tbl_PurchaseOrder[[#This Row],[PO Line Key (Helper)]])</f>
        <v>80</v>
      </c>
      <c r="P4" s="103">
        <f>IFERROR(tbl_PurchaseOrder[[#This Row],[Received Qty]]-tbl_PurchaseOrder[[#This Row],[Ordered Qty]],0)</f>
        <v>0</v>
      </c>
      <c r="Q4" s="16" t="str">
        <f>IF(tbl_PurchaseOrder[[#This Row],[Received Qty]]=0,"Open",IF(tbl_PurchaseOrder[[#This Row],[Received Qty]]&lt;tbl_PurchaseOrder[[#This Row],[Ordered Qty]],"Partial", "Closed"))</f>
        <v>Closed</v>
      </c>
      <c r="R4" s="6"/>
      <c r="S4" s="37" t="str">
        <f>tbl_PurchaseOrder[[#This Row],[PO Number]]&amp;"-"&amp;tbl_PurchaseOrder[[#This Row],[PO Line]]</f>
        <v>PO-2026-0001-10</v>
      </c>
    </row>
    <row r="5" spans="1:19" x14ac:dyDescent="0.25">
      <c r="A5" s="6" t="s">
        <v>126</v>
      </c>
      <c r="B5" s="7">
        <v>20</v>
      </c>
      <c r="C5" s="8">
        <v>46235</v>
      </c>
      <c r="D5" s="6" t="s">
        <v>258</v>
      </c>
      <c r="E5" s="9" t="str">
        <f>VLOOKUP(tbl_PurchaseOrder[[#This Row],[Supplier Code]],tbl_MasterSupplier[],2,FALSE)</f>
        <v>Global Hydraulic Solutions Pte Ltd</v>
      </c>
      <c r="F5" s="6" t="s">
        <v>39</v>
      </c>
      <c r="G5" s="9" t="str">
        <f>_xlfn.XLOOKUP(tbl_PurchaseOrder[[#This Row],[Material Code]],tbl_MasterMaterial[Material Code],tbl_MasterMaterial[Material Description])</f>
        <v>Hydraulic Hose 1/2in x 3m</v>
      </c>
      <c r="H5" s="14" t="s">
        <v>17</v>
      </c>
      <c r="I5" s="11">
        <v>60</v>
      </c>
      <c r="J5" s="33">
        <v>670000</v>
      </c>
      <c r="K5" s="31">
        <f>tbl_PurchaseOrder[[#This Row],[Ordered Qty]]*J5</f>
        <v>40200000</v>
      </c>
      <c r="L5" s="14" t="s">
        <v>128</v>
      </c>
      <c r="M5" s="12">
        <f>_xlfn.XLOOKUP(tbl_PurchaseOrder[[#This Row],[Material Code]],tbl_MasterMaterial[Material Code],tbl_MasterMaterial[Lead Time (Days)])</f>
        <v>12</v>
      </c>
      <c r="N5" s="15">
        <f>tbl_PurchaseOrder[[#This Row],[PO Date]]+tbl_PurchaseOrder[[#This Row],[Lead Time (Days)]]</f>
        <v>46247</v>
      </c>
      <c r="O5" s="3">
        <f>SUMIFS(tbl_GoodsReceipt[Received Qty],tbl_GoodsReceipt[PO Line Key (Helper)],tbl_PurchaseOrder[[#This Row],[PO Line Key (Helper)]])</f>
        <v>60</v>
      </c>
      <c r="P5" s="103">
        <f>IFERROR(tbl_PurchaseOrder[[#This Row],[Received Qty]]-tbl_PurchaseOrder[[#This Row],[Ordered Qty]],0)</f>
        <v>0</v>
      </c>
      <c r="Q5" s="16" t="str">
        <f>IF(tbl_PurchaseOrder[[#This Row],[Received Qty]]=0,"Open",IF(tbl_PurchaseOrder[[#This Row],[Received Qty]]&lt;tbl_PurchaseOrder[[#This Row],[Ordered Qty]],"Partial", "Closed"))</f>
        <v>Closed</v>
      </c>
      <c r="R5" s="6"/>
      <c r="S5" s="37" t="str">
        <f>tbl_PurchaseOrder[[#This Row],[PO Number]]&amp;"-"&amp;tbl_PurchaseOrder[[#This Row],[PO Line]]</f>
        <v>PO-2026-0001-20</v>
      </c>
    </row>
    <row r="6" spans="1:19" x14ac:dyDescent="0.25">
      <c r="A6" s="6" t="s">
        <v>126</v>
      </c>
      <c r="B6" s="7">
        <v>30</v>
      </c>
      <c r="C6" s="8">
        <v>46235</v>
      </c>
      <c r="D6" s="6" t="s">
        <v>258</v>
      </c>
      <c r="E6" s="9" t="str">
        <f>VLOOKUP(tbl_PurchaseOrder[[#This Row],[Supplier Code]],tbl_MasterSupplier[],2,FALSE)</f>
        <v>Global Hydraulic Solutions Pte Ltd</v>
      </c>
      <c r="F6" s="6" t="s">
        <v>62</v>
      </c>
      <c r="G6" s="9" t="str">
        <f>_xlfn.XLOOKUP(tbl_PurchaseOrder[[#This Row],[Material Code]],tbl_MasterMaterial[Material Code],tbl_MasterMaterial[Material Description])</f>
        <v>Bearing 6205-2RS</v>
      </c>
      <c r="H6" s="14" t="s">
        <v>17</v>
      </c>
      <c r="I6" s="11">
        <v>140</v>
      </c>
      <c r="J6" s="33">
        <v>72000</v>
      </c>
      <c r="K6" s="31">
        <f>tbl_PurchaseOrder[[#This Row],[Ordered Qty]]*J6</f>
        <v>10080000</v>
      </c>
      <c r="L6" s="14" t="s">
        <v>19</v>
      </c>
      <c r="M6" s="12">
        <f>_xlfn.XLOOKUP(tbl_PurchaseOrder[[#This Row],[Material Code]],tbl_MasterMaterial[Material Code],tbl_MasterMaterial[Lead Time (Days)])</f>
        <v>9</v>
      </c>
      <c r="N6" s="15">
        <f>tbl_PurchaseOrder[[#This Row],[PO Date]]+tbl_PurchaseOrder[[#This Row],[Lead Time (Days)]]</f>
        <v>46244</v>
      </c>
      <c r="O6" s="3">
        <f>SUMIFS(tbl_GoodsReceipt[Received Qty],tbl_GoodsReceipt[PO Line Key (Helper)],tbl_PurchaseOrder[[#This Row],[PO Line Key (Helper)]])</f>
        <v>140</v>
      </c>
      <c r="P6" s="103">
        <f>IFERROR(tbl_PurchaseOrder[[#This Row],[Received Qty]]-tbl_PurchaseOrder[[#This Row],[Ordered Qty]],0)</f>
        <v>0</v>
      </c>
      <c r="Q6" s="16" t="str">
        <f>IF(tbl_PurchaseOrder[[#This Row],[Received Qty]]=0,"Open",IF(tbl_PurchaseOrder[[#This Row],[Received Qty]]&lt;tbl_PurchaseOrder[[#This Row],[Ordered Qty]],"Partial", "Closed"))</f>
        <v>Closed</v>
      </c>
      <c r="R6" s="6"/>
      <c r="S6" s="37" t="str">
        <f>tbl_PurchaseOrder[[#This Row],[PO Number]]&amp;"-"&amp;tbl_PurchaseOrder[[#This Row],[PO Line]]</f>
        <v>PO-2026-0001-30</v>
      </c>
    </row>
    <row r="7" spans="1:19" x14ac:dyDescent="0.25">
      <c r="A7" s="6" t="s">
        <v>127</v>
      </c>
      <c r="B7" s="7">
        <v>10</v>
      </c>
      <c r="C7" s="8">
        <v>46237</v>
      </c>
      <c r="D7" s="6" t="s">
        <v>23</v>
      </c>
      <c r="E7" s="9" t="str">
        <f>VLOOKUP(tbl_PurchaseOrder[[#This Row],[Supplier Code]],tbl_MasterSupplier[],2,FALSE)</f>
        <v>Global Engine Components Pte Ltd</v>
      </c>
      <c r="F7" s="6" t="s">
        <v>25</v>
      </c>
      <c r="G7" s="9" t="str">
        <f>_xlfn.XLOOKUP(tbl_PurchaseOrder[[#This Row],[Material Code]],tbl_MasterMaterial[Material Code],tbl_MasterMaterial[Material Description])</f>
        <v>Engine Oil Filter (Cat 320D)</v>
      </c>
      <c r="H7" s="14" t="s">
        <v>17</v>
      </c>
      <c r="I7" s="11">
        <v>100</v>
      </c>
      <c r="J7" s="33">
        <v>245000</v>
      </c>
      <c r="K7" s="31">
        <f>tbl_PurchaseOrder[[#This Row],[Ordered Qty]]*J7</f>
        <v>24500000</v>
      </c>
      <c r="L7" s="14" t="s">
        <v>19</v>
      </c>
      <c r="M7" s="12">
        <f>_xlfn.XLOOKUP(tbl_PurchaseOrder[[#This Row],[Material Code]],tbl_MasterMaterial[Material Code],tbl_MasterMaterial[Lead Time (Days)])</f>
        <v>7</v>
      </c>
      <c r="N7" s="15">
        <f>tbl_PurchaseOrder[[#This Row],[PO Date]]+tbl_PurchaseOrder[[#This Row],[Lead Time (Days)]]</f>
        <v>46244</v>
      </c>
      <c r="O7" s="3">
        <f>SUMIFS(tbl_GoodsReceipt[Received Qty],tbl_GoodsReceipt[PO Line Key (Helper)],tbl_PurchaseOrder[[#This Row],[PO Line Key (Helper)]])</f>
        <v>80</v>
      </c>
      <c r="P7" s="103">
        <f>IFERROR(tbl_PurchaseOrder[[#This Row],[Received Qty]]-tbl_PurchaseOrder[[#This Row],[Ordered Qty]],0)</f>
        <v>-20</v>
      </c>
      <c r="Q7" s="16" t="str">
        <f>IF(tbl_PurchaseOrder[[#This Row],[Received Qty]]=0,"Open",IF(tbl_PurchaseOrder[[#This Row],[Received Qty]]&lt;tbl_PurchaseOrder[[#This Row],[Ordered Qty]],"Partial", "Closed"))</f>
        <v>Partial</v>
      </c>
      <c r="R7" s="6" t="s">
        <v>308</v>
      </c>
      <c r="S7" s="37" t="str">
        <f>tbl_PurchaseOrder[[#This Row],[PO Number]]&amp;"-"&amp;tbl_PurchaseOrder[[#This Row],[PO Line]]</f>
        <v>PO-2026-0002-10</v>
      </c>
    </row>
    <row r="8" spans="1:19" x14ac:dyDescent="0.25">
      <c r="A8" s="6" t="s">
        <v>127</v>
      </c>
      <c r="B8" s="7">
        <v>20</v>
      </c>
      <c r="C8" s="8">
        <v>46237</v>
      </c>
      <c r="D8" s="6" t="s">
        <v>23</v>
      </c>
      <c r="E8" s="9" t="str">
        <f>VLOOKUP(tbl_PurchaseOrder[[#This Row],[Supplier Code]],tbl_MasterSupplier[],2,FALSE)</f>
        <v>Global Engine Components Pte Ltd</v>
      </c>
      <c r="F8" s="6" t="s">
        <v>37</v>
      </c>
      <c r="G8" s="9" t="str">
        <f>_xlfn.XLOOKUP(tbl_PurchaseOrder[[#This Row],[Material Code]],tbl_MasterMaterial[Material Code],tbl_MasterMaterial[Material Description])</f>
        <v>Air Filter Element - Primary</v>
      </c>
      <c r="H8" s="14" t="s">
        <v>17</v>
      </c>
      <c r="I8" s="11">
        <v>80</v>
      </c>
      <c r="J8" s="33">
        <v>410000</v>
      </c>
      <c r="K8" s="31">
        <f>tbl_PurchaseOrder[[#This Row],[Ordered Qty]]*J8</f>
        <v>32800000</v>
      </c>
      <c r="L8" s="14" t="s">
        <v>19</v>
      </c>
      <c r="M8" s="12">
        <f>_xlfn.XLOOKUP(tbl_PurchaseOrder[[#This Row],[Material Code]],tbl_MasterMaterial[Material Code],tbl_MasterMaterial[Lead Time (Days)])</f>
        <v>10</v>
      </c>
      <c r="N8" s="15">
        <f>tbl_PurchaseOrder[[#This Row],[PO Date]]+tbl_PurchaseOrder[[#This Row],[Lead Time (Days)]]</f>
        <v>46247</v>
      </c>
      <c r="O8" s="3">
        <f>SUMIFS(tbl_GoodsReceipt[Received Qty],tbl_GoodsReceipt[PO Line Key (Helper)],tbl_PurchaseOrder[[#This Row],[PO Line Key (Helper)]])</f>
        <v>60</v>
      </c>
      <c r="P8" s="103">
        <f>IFERROR(tbl_PurchaseOrder[[#This Row],[Received Qty]]-tbl_PurchaseOrder[[#This Row],[Ordered Qty]],0)</f>
        <v>-20</v>
      </c>
      <c r="Q8" s="16" t="str">
        <f>IF(tbl_PurchaseOrder[[#This Row],[Received Qty]]=0,"Open",IF(tbl_PurchaseOrder[[#This Row],[Received Qty]]&lt;tbl_PurchaseOrder[[#This Row],[Ordered Qty]],"Partial", "Closed"))</f>
        <v>Partial</v>
      </c>
      <c r="R8" s="6"/>
      <c r="S8" s="37" t="str">
        <f>tbl_PurchaseOrder[[#This Row],[PO Number]]&amp;"-"&amp;tbl_PurchaseOrder[[#This Row],[PO Line]]</f>
        <v>PO-2026-0002-20</v>
      </c>
    </row>
    <row r="9" spans="1:19" x14ac:dyDescent="0.25">
      <c r="A9" s="6" t="s">
        <v>127</v>
      </c>
      <c r="B9" s="7">
        <v>30</v>
      </c>
      <c r="C9" s="8">
        <v>46237</v>
      </c>
      <c r="D9" s="6" t="s">
        <v>23</v>
      </c>
      <c r="E9" s="9" t="str">
        <f>VLOOKUP(tbl_PurchaseOrder[[#This Row],[Supplier Code]],tbl_MasterSupplier[],2,FALSE)</f>
        <v>Global Engine Components Pte Ltd</v>
      </c>
      <c r="F9" s="6" t="s">
        <v>56</v>
      </c>
      <c r="G9" s="9" t="str">
        <f>_xlfn.XLOOKUP(tbl_PurchaseOrder[[#This Row],[Material Code]],tbl_MasterMaterial[Material Code],tbl_MasterMaterial[Material Description])</f>
        <v>V-Belt A-Section 1250mm</v>
      </c>
      <c r="H9" s="14" t="s">
        <v>17</v>
      </c>
      <c r="I9" s="11">
        <v>70</v>
      </c>
      <c r="J9" s="33">
        <v>180000</v>
      </c>
      <c r="K9" s="31">
        <f>tbl_PurchaseOrder[[#This Row],[Ordered Qty]]*J9</f>
        <v>12600000</v>
      </c>
      <c r="L9" s="14" t="s">
        <v>19</v>
      </c>
      <c r="M9" s="12">
        <f>_xlfn.XLOOKUP(tbl_PurchaseOrder[[#This Row],[Material Code]],tbl_MasterMaterial[Material Code],tbl_MasterMaterial[Lead Time (Days)])</f>
        <v>8</v>
      </c>
      <c r="N9" s="15">
        <f>tbl_PurchaseOrder[[#This Row],[PO Date]]+tbl_PurchaseOrder[[#This Row],[Lead Time (Days)]]</f>
        <v>46245</v>
      </c>
      <c r="O9" s="3">
        <f>SUMIFS(tbl_GoodsReceipt[Received Qty],tbl_GoodsReceipt[PO Line Key (Helper)],tbl_PurchaseOrder[[#This Row],[PO Line Key (Helper)]])</f>
        <v>0</v>
      </c>
      <c r="P9" s="103">
        <f>IFERROR(tbl_PurchaseOrder[[#This Row],[Received Qty]]-tbl_PurchaseOrder[[#This Row],[Ordered Qty]],0)</f>
        <v>-70</v>
      </c>
      <c r="Q9" s="16" t="str">
        <f>IF(tbl_PurchaseOrder[[#This Row],[Received Qty]]=0,"Open",IF(tbl_PurchaseOrder[[#This Row],[Received Qty]]&lt;tbl_PurchaseOrder[[#This Row],[Ordered Qty]],"Partial", "Closed"))</f>
        <v>Open</v>
      </c>
      <c r="R9" s="6"/>
      <c r="S9" s="37" t="str">
        <f>tbl_PurchaseOrder[[#This Row],[PO Number]]&amp;"-"&amp;tbl_PurchaseOrder[[#This Row],[PO Line]]</f>
        <v>PO-2026-0002-30</v>
      </c>
    </row>
    <row r="10" spans="1:19" x14ac:dyDescent="0.25">
      <c r="A10" s="6" t="s">
        <v>129</v>
      </c>
      <c r="B10" s="7">
        <v>10</v>
      </c>
      <c r="C10" s="8">
        <v>46239</v>
      </c>
      <c r="D10" s="6" t="s">
        <v>255</v>
      </c>
      <c r="E10" s="9" t="str">
        <f>VLOOKUP(tbl_PurchaseOrder[[#This Row],[Supplier Code]],tbl_MasterSupplier[],2,FALSE)</f>
        <v>PT Heavy Equipment Parts Indonesia</v>
      </c>
      <c r="F10" s="6" t="s">
        <v>36</v>
      </c>
      <c r="G10" s="9" t="str">
        <f>_xlfn.XLOOKUP(tbl_PurchaseOrder[[#This Row],[Material Code]],tbl_MasterMaterial[Material Code],tbl_MasterMaterial[Material Description])</f>
        <v>Track Roller Assembly</v>
      </c>
      <c r="H10" s="14" t="s">
        <v>17</v>
      </c>
      <c r="I10" s="11">
        <v>48</v>
      </c>
      <c r="J10" s="33">
        <v>6700000</v>
      </c>
      <c r="K10" s="31">
        <f>tbl_PurchaseOrder[[#This Row],[Ordered Qty]]*J10</f>
        <v>321600000</v>
      </c>
      <c r="L10" s="14" t="s">
        <v>19</v>
      </c>
      <c r="M10" s="12">
        <f>_xlfn.XLOOKUP(tbl_PurchaseOrder[[#This Row],[Material Code]],tbl_MasterMaterial[Material Code],tbl_MasterMaterial[Lead Time (Days)])</f>
        <v>30</v>
      </c>
      <c r="N10" s="15">
        <f>tbl_PurchaseOrder[[#This Row],[PO Date]]+tbl_PurchaseOrder[[#This Row],[Lead Time (Days)]]</f>
        <v>46269</v>
      </c>
      <c r="O10" s="3">
        <f>SUMIFS(tbl_GoodsReceipt[Received Qty],tbl_GoodsReceipt[PO Line Key (Helper)],tbl_PurchaseOrder[[#This Row],[PO Line Key (Helper)]])</f>
        <v>0</v>
      </c>
      <c r="P10" s="103">
        <f>IFERROR(tbl_PurchaseOrder[[#This Row],[Received Qty]]-tbl_PurchaseOrder[[#This Row],[Ordered Qty]],0)</f>
        <v>-48</v>
      </c>
      <c r="Q10" s="16" t="str">
        <f>IF(tbl_PurchaseOrder[[#This Row],[Received Qty]]=0,"Open",IF(tbl_PurchaseOrder[[#This Row],[Received Qty]]&lt;tbl_PurchaseOrder[[#This Row],[Ordered Qty]],"Partial", "Closed"))</f>
        <v>Open</v>
      </c>
      <c r="R10" s="6"/>
      <c r="S10" s="37" t="str">
        <f>tbl_PurchaseOrder[[#This Row],[PO Number]]&amp;"-"&amp;tbl_PurchaseOrder[[#This Row],[PO Line]]</f>
        <v>PO-2026-0003-10</v>
      </c>
    </row>
    <row r="11" spans="1:19" x14ac:dyDescent="0.25">
      <c r="A11" s="6" t="s">
        <v>129</v>
      </c>
      <c r="B11" s="7">
        <v>20</v>
      </c>
      <c r="C11" s="8">
        <v>46239</v>
      </c>
      <c r="D11" s="6" t="s">
        <v>255</v>
      </c>
      <c r="E11" s="9" t="str">
        <f>VLOOKUP(tbl_PurchaseOrder[[#This Row],[Supplier Code]],tbl_MasterSupplier[],2,FALSE)</f>
        <v>PT Heavy Equipment Parts Indonesia</v>
      </c>
      <c r="F11" s="6" t="s">
        <v>46</v>
      </c>
      <c r="G11" s="9" t="str">
        <f>_xlfn.XLOOKUP(tbl_PurchaseOrder[[#This Row],[Material Code]],tbl_MasterMaterial[Material Code],tbl_MasterMaterial[Material Description])</f>
        <v>Final Drive Motor (Excavator PC200)</v>
      </c>
      <c r="H11" s="14" t="s">
        <v>17</v>
      </c>
      <c r="I11" s="11">
        <v>42</v>
      </c>
      <c r="J11" s="33">
        <v>28200000</v>
      </c>
      <c r="K11" s="31">
        <f>tbl_PurchaseOrder[[#This Row],[Ordered Qty]]*J11</f>
        <v>1184400000</v>
      </c>
      <c r="L11" s="14" t="s">
        <v>128</v>
      </c>
      <c r="M11" s="12">
        <f>_xlfn.XLOOKUP(tbl_PurchaseOrder[[#This Row],[Material Code]],tbl_MasterMaterial[Material Code],tbl_MasterMaterial[Lead Time (Days)])</f>
        <v>45</v>
      </c>
      <c r="N11" s="15">
        <f>tbl_PurchaseOrder[[#This Row],[PO Date]]+tbl_PurchaseOrder[[#This Row],[Lead Time (Days)]]</f>
        <v>46284</v>
      </c>
      <c r="O11" s="3">
        <f>SUMIFS(tbl_GoodsReceipt[Received Qty],tbl_GoodsReceipt[PO Line Key (Helper)],tbl_PurchaseOrder[[#This Row],[PO Line Key (Helper)]])</f>
        <v>0</v>
      </c>
      <c r="P11" s="103">
        <f>IFERROR(tbl_PurchaseOrder[[#This Row],[Received Qty]]-tbl_PurchaseOrder[[#This Row],[Ordered Qty]],0)</f>
        <v>-42</v>
      </c>
      <c r="Q11" s="16" t="str">
        <f>IF(tbl_PurchaseOrder[[#This Row],[Received Qty]]=0,"Open",IF(tbl_PurchaseOrder[[#This Row],[Received Qty]]&lt;tbl_PurchaseOrder[[#This Row],[Ordered Qty]],"Partial", "Closed"))</f>
        <v>Open</v>
      </c>
      <c r="R11" s="6" t="s">
        <v>309</v>
      </c>
      <c r="S11" s="37" t="str">
        <f>tbl_PurchaseOrder[[#This Row],[PO Number]]&amp;"-"&amp;tbl_PurchaseOrder[[#This Row],[PO Line]]</f>
        <v>PO-2026-0003-20</v>
      </c>
    </row>
    <row r="12" spans="1:19" x14ac:dyDescent="0.25">
      <c r="A12" s="6" t="s">
        <v>129</v>
      </c>
      <c r="B12" s="7">
        <v>30</v>
      </c>
      <c r="C12" s="8">
        <v>46239</v>
      </c>
      <c r="D12" s="6" t="s">
        <v>255</v>
      </c>
      <c r="E12" s="9" t="str">
        <f>VLOOKUP(tbl_PurchaseOrder[[#This Row],[Supplier Code]],tbl_MasterSupplier[],2,FALSE)</f>
        <v>PT Heavy Equipment Parts Indonesia</v>
      </c>
      <c r="F12" s="6" t="s">
        <v>54</v>
      </c>
      <c r="G12" s="9" t="str">
        <f>_xlfn.XLOOKUP(tbl_PurchaseOrder[[#This Row],[Material Code]],tbl_MasterMaterial[Material Code],tbl_MasterMaterial[Material Description])</f>
        <v>Turbocharger Assembly (Cat C15)</v>
      </c>
      <c r="H12" s="14" t="s">
        <v>17</v>
      </c>
      <c r="I12" s="11">
        <v>15</v>
      </c>
      <c r="J12" s="33">
        <v>15300000</v>
      </c>
      <c r="K12" s="31">
        <f>tbl_PurchaseOrder[[#This Row],[Ordered Qty]]*J12</f>
        <v>229500000</v>
      </c>
      <c r="L12" s="14" t="s">
        <v>19</v>
      </c>
      <c r="M12" s="12">
        <f>_xlfn.XLOOKUP(tbl_PurchaseOrder[[#This Row],[Material Code]],tbl_MasterMaterial[Material Code],tbl_MasterMaterial[Lead Time (Days)])</f>
        <v>35</v>
      </c>
      <c r="N12" s="15">
        <f>tbl_PurchaseOrder[[#This Row],[PO Date]]+tbl_PurchaseOrder[[#This Row],[Lead Time (Days)]]</f>
        <v>46274</v>
      </c>
      <c r="O12" s="3">
        <f>SUMIFS(tbl_GoodsReceipt[Received Qty],tbl_GoodsReceipt[PO Line Key (Helper)],tbl_PurchaseOrder[[#This Row],[PO Line Key (Helper)]])</f>
        <v>0</v>
      </c>
      <c r="P12" s="103">
        <f>IFERROR(tbl_PurchaseOrder[[#This Row],[Received Qty]]-tbl_PurchaseOrder[[#This Row],[Ordered Qty]],0)</f>
        <v>-15</v>
      </c>
      <c r="Q12" s="16" t="str">
        <f>IF(tbl_PurchaseOrder[[#This Row],[Received Qty]]=0,"Open",IF(tbl_PurchaseOrder[[#This Row],[Received Qty]]&lt;tbl_PurchaseOrder[[#This Row],[Ordered Qty]],"Partial", "Closed"))</f>
        <v>Open</v>
      </c>
      <c r="R12" s="6"/>
      <c r="S12" s="37" t="str">
        <f>tbl_PurchaseOrder[[#This Row],[PO Number]]&amp;"-"&amp;tbl_PurchaseOrder[[#This Row],[PO Line]]</f>
        <v>PO-2026-0003-30</v>
      </c>
    </row>
    <row r="13" spans="1:19" x14ac:dyDescent="0.25">
      <c r="A13" s="6" t="s">
        <v>130</v>
      </c>
      <c r="B13" s="7">
        <v>10</v>
      </c>
      <c r="C13" s="8">
        <v>46241</v>
      </c>
      <c r="D13" s="6" t="s">
        <v>30</v>
      </c>
      <c r="E13" s="9" t="str">
        <f>VLOOKUP(tbl_PurchaseOrder[[#This Row],[Supplier Code]],tbl_MasterSupplier[],2,FALSE)</f>
        <v>PT Multi Industrial Trading</v>
      </c>
      <c r="F13" s="6" t="s">
        <v>21</v>
      </c>
      <c r="G13" s="9" t="str">
        <f>_xlfn.XLOOKUP(tbl_PurchaseOrder[[#This Row],[Material Code]],tbl_MasterMaterial[Material Code],tbl_MasterMaterial[Material Description])</f>
        <v>Steel Plate 10mm x 2m x 1m</v>
      </c>
      <c r="H13" s="14" t="s">
        <v>17</v>
      </c>
      <c r="I13" s="11">
        <v>60</v>
      </c>
      <c r="J13" s="33">
        <v>4150000</v>
      </c>
      <c r="K13" s="31">
        <f>tbl_PurchaseOrder[[#This Row],[Ordered Qty]]*J13</f>
        <v>249000000</v>
      </c>
      <c r="L13" s="14" t="s">
        <v>19</v>
      </c>
      <c r="M13" s="12">
        <f>_xlfn.XLOOKUP(tbl_PurchaseOrder[[#This Row],[Material Code]],tbl_MasterMaterial[Material Code],tbl_MasterMaterial[Lead Time (Days)])</f>
        <v>21</v>
      </c>
      <c r="N13" s="15">
        <f>tbl_PurchaseOrder[[#This Row],[PO Date]]+tbl_PurchaseOrder[[#This Row],[Lead Time (Days)]]</f>
        <v>46262</v>
      </c>
      <c r="O13" s="3">
        <f>SUMIFS(tbl_GoodsReceipt[Received Qty],tbl_GoodsReceipt[PO Line Key (Helper)],tbl_PurchaseOrder[[#This Row],[PO Line Key (Helper)]])</f>
        <v>60</v>
      </c>
      <c r="P13" s="103">
        <f>IFERROR(tbl_PurchaseOrder[[#This Row],[Received Qty]]-tbl_PurchaseOrder[[#This Row],[Ordered Qty]],0)</f>
        <v>0</v>
      </c>
      <c r="Q13" s="16" t="str">
        <f>IF(tbl_PurchaseOrder[[#This Row],[Received Qty]]=0,"Open",IF(tbl_PurchaseOrder[[#This Row],[Received Qty]]&lt;tbl_PurchaseOrder[[#This Row],[Ordered Qty]],"Partial", "Closed"))</f>
        <v>Closed</v>
      </c>
      <c r="R13" s="6"/>
      <c r="S13" s="37" t="str">
        <f>tbl_PurchaseOrder[[#This Row],[PO Number]]&amp;"-"&amp;tbl_PurchaseOrder[[#This Row],[PO Line]]</f>
        <v>PO-2026-0004-10</v>
      </c>
    </row>
    <row r="14" spans="1:19" x14ac:dyDescent="0.25">
      <c r="A14" s="6" t="s">
        <v>130</v>
      </c>
      <c r="B14" s="7">
        <v>20</v>
      </c>
      <c r="C14" s="8">
        <v>46241</v>
      </c>
      <c r="D14" s="6" t="s">
        <v>30</v>
      </c>
      <c r="E14" s="9" t="str">
        <f>VLOOKUP(tbl_PurchaseOrder[[#This Row],[Supplier Code]],tbl_MasterSupplier[],2,FALSE)</f>
        <v>PT Multi Industrial Trading</v>
      </c>
      <c r="F14" s="6" t="s">
        <v>27</v>
      </c>
      <c r="G14" s="9" t="str">
        <f>_xlfn.XLOOKUP(tbl_PurchaseOrder[[#This Row],[Material Code]],tbl_MasterMaterial[Material Code],tbl_MasterMaterial[Material Description])</f>
        <v>Hex Bolt M12x50 Grade 8.8</v>
      </c>
      <c r="H14" s="14" t="s">
        <v>17</v>
      </c>
      <c r="I14" s="11">
        <v>2500</v>
      </c>
      <c r="J14" s="33">
        <v>7900</v>
      </c>
      <c r="K14" s="31">
        <f>tbl_PurchaseOrder[[#This Row],[Ordered Qty]]*J14</f>
        <v>19750000</v>
      </c>
      <c r="L14" s="14" t="s">
        <v>19</v>
      </c>
      <c r="M14" s="12">
        <f>_xlfn.XLOOKUP(tbl_PurchaseOrder[[#This Row],[Material Code]],tbl_MasterMaterial[Material Code],tbl_MasterMaterial[Lead Time (Days)])</f>
        <v>10</v>
      </c>
      <c r="N14" s="15">
        <f>tbl_PurchaseOrder[[#This Row],[PO Date]]+tbl_PurchaseOrder[[#This Row],[Lead Time (Days)]]</f>
        <v>46251</v>
      </c>
      <c r="O14" s="3">
        <f>SUMIFS(tbl_GoodsReceipt[Received Qty],tbl_GoodsReceipt[PO Line Key (Helper)],tbl_PurchaseOrder[[#This Row],[PO Line Key (Helper)]])</f>
        <v>2500</v>
      </c>
      <c r="P14" s="103">
        <f>IFERROR(tbl_PurchaseOrder[[#This Row],[Received Qty]]-tbl_PurchaseOrder[[#This Row],[Ordered Qty]],0)</f>
        <v>0</v>
      </c>
      <c r="Q14" s="16" t="str">
        <f>IF(tbl_PurchaseOrder[[#This Row],[Received Qty]]=0,"Open",IF(tbl_PurchaseOrder[[#This Row],[Received Qty]]&lt;tbl_PurchaseOrder[[#This Row],[Ordered Qty]],"Partial", "Closed"))</f>
        <v>Closed</v>
      </c>
      <c r="R14" s="6"/>
      <c r="S14" s="37" t="str">
        <f>tbl_PurchaseOrder[[#This Row],[PO Number]]&amp;"-"&amp;tbl_PurchaseOrder[[#This Row],[PO Line]]</f>
        <v>PO-2026-0004-20</v>
      </c>
    </row>
    <row r="15" spans="1:19" x14ac:dyDescent="0.25">
      <c r="A15" s="6" t="s">
        <v>131</v>
      </c>
      <c r="B15" s="7">
        <v>10</v>
      </c>
      <c r="C15" s="8">
        <v>46243</v>
      </c>
      <c r="D15" s="6" t="s">
        <v>91</v>
      </c>
      <c r="E15" s="9" t="str">
        <f>VLOOKUP(tbl_PurchaseOrder[[#This Row],[Supplier Code]],tbl_MasterSupplier[],2,FALSE)</f>
        <v>PT Precision Fastener Indonesia</v>
      </c>
      <c r="F15" s="6" t="s">
        <v>52</v>
      </c>
      <c r="G15" s="9" t="str">
        <f>_xlfn.XLOOKUP(tbl_PurchaseOrder[[#This Row],[Material Code]],tbl_MasterMaterial[Material Code],tbl_MasterMaterial[Material Description])</f>
        <v>Flat Washer M12 Zinc Plated</v>
      </c>
      <c r="H15" s="14" t="s">
        <v>17</v>
      </c>
      <c r="I15" s="11">
        <v>5000</v>
      </c>
      <c r="J15" s="33">
        <v>1950</v>
      </c>
      <c r="K15" s="31">
        <f>tbl_PurchaseOrder[[#This Row],[Ordered Qty]]*J15</f>
        <v>9750000</v>
      </c>
      <c r="L15" s="14" t="s">
        <v>19</v>
      </c>
      <c r="M15" s="12">
        <f>_xlfn.XLOOKUP(tbl_PurchaseOrder[[#This Row],[Material Code]],tbl_MasterMaterial[Material Code],tbl_MasterMaterial[Lead Time (Days)])</f>
        <v>10</v>
      </c>
      <c r="N15" s="15">
        <f>tbl_PurchaseOrder[[#This Row],[PO Date]]+tbl_PurchaseOrder[[#This Row],[Lead Time (Days)]]</f>
        <v>46253</v>
      </c>
      <c r="O15" s="3">
        <f>SUMIFS(tbl_GoodsReceipt[Received Qty],tbl_GoodsReceipt[PO Line Key (Helper)],tbl_PurchaseOrder[[#This Row],[PO Line Key (Helper)]])</f>
        <v>5000</v>
      </c>
      <c r="P15" s="103">
        <f>IFERROR(tbl_PurchaseOrder[[#This Row],[Received Qty]]-tbl_PurchaseOrder[[#This Row],[Ordered Qty]],0)</f>
        <v>0</v>
      </c>
      <c r="Q15" s="16" t="str">
        <f>IF(tbl_PurchaseOrder[[#This Row],[Received Qty]]=0,"Open",IF(tbl_PurchaseOrder[[#This Row],[Received Qty]]&lt;tbl_PurchaseOrder[[#This Row],[Ordered Qty]],"Partial", "Closed"))</f>
        <v>Closed</v>
      </c>
      <c r="R15" s="6"/>
      <c r="S15" s="37" t="str">
        <f>tbl_PurchaseOrder[[#This Row],[PO Number]]&amp;"-"&amp;tbl_PurchaseOrder[[#This Row],[PO Line]]</f>
        <v>PO-2026-0005-10</v>
      </c>
    </row>
    <row r="16" spans="1:19" x14ac:dyDescent="0.25">
      <c r="A16" s="6" t="s">
        <v>302</v>
      </c>
      <c r="B16" s="7">
        <v>10</v>
      </c>
      <c r="C16" s="8">
        <v>46244</v>
      </c>
      <c r="D16" s="6" t="s">
        <v>256</v>
      </c>
      <c r="E16" s="9" t="str">
        <f>VLOOKUP(tbl_PurchaseOrder[[#This Row],[Supplier Code]],tbl_MasterSupplier[],2,FALSE)</f>
        <v>PT Industrial Lubricants Indonesia</v>
      </c>
      <c r="F16" s="6" t="s">
        <v>41</v>
      </c>
      <c r="G16" s="9" t="str">
        <f>_xlfn.XLOOKUP(tbl_PurchaseOrder[[#This Row],[Material Code]],tbl_MasterMaterial[Material Code],tbl_MasterMaterial[Material Description])</f>
        <v>Grease Cartridge NLGI2 400g</v>
      </c>
      <c r="H16" s="14" t="s">
        <v>17</v>
      </c>
      <c r="I16" s="11">
        <v>190</v>
      </c>
      <c r="J16" s="33">
        <v>92000</v>
      </c>
      <c r="K16" s="31">
        <f>tbl_PurchaseOrder[[#This Row],[Ordered Qty]]*J16</f>
        <v>17480000</v>
      </c>
      <c r="L16" s="14" t="s">
        <v>19</v>
      </c>
      <c r="M16" s="12">
        <f>_xlfn.XLOOKUP(tbl_PurchaseOrder[[#This Row],[Material Code]],tbl_MasterMaterial[Material Code],tbl_MasterMaterial[Lead Time (Days)])</f>
        <v>5</v>
      </c>
      <c r="N16" s="15">
        <f>tbl_PurchaseOrder[[#This Row],[PO Date]]+tbl_PurchaseOrder[[#This Row],[Lead Time (Days)]]</f>
        <v>46249</v>
      </c>
      <c r="O16" s="3">
        <f>SUMIFS(tbl_GoodsReceipt[Received Qty],tbl_GoodsReceipt[PO Line Key (Helper)],tbl_PurchaseOrder[[#This Row],[PO Line Key (Helper)]])</f>
        <v>190</v>
      </c>
      <c r="P16" s="103">
        <f>IFERROR(tbl_PurchaseOrder[[#This Row],[Received Qty]]-tbl_PurchaseOrder[[#This Row],[Ordered Qty]],0)</f>
        <v>0</v>
      </c>
      <c r="Q16" s="16" t="str">
        <f>IF(tbl_PurchaseOrder[[#This Row],[Received Qty]]=0,"Open",IF(tbl_PurchaseOrder[[#This Row],[Received Qty]]&lt;tbl_PurchaseOrder[[#This Row],[Ordered Qty]],"Partial", "Closed"))</f>
        <v>Closed</v>
      </c>
      <c r="R16" s="6"/>
      <c r="S16" s="37" t="str">
        <f>tbl_PurchaseOrder[[#This Row],[PO Number]]&amp;"-"&amp;tbl_PurchaseOrder[[#This Row],[PO Line]]</f>
        <v>PO-2026-0006-10</v>
      </c>
    </row>
    <row r="17" spans="1:19" x14ac:dyDescent="0.25">
      <c r="A17" s="6" t="s">
        <v>302</v>
      </c>
      <c r="B17" s="7">
        <v>20</v>
      </c>
      <c r="C17" s="8">
        <v>46244</v>
      </c>
      <c r="D17" s="6" t="s">
        <v>256</v>
      </c>
      <c r="E17" s="9" t="str">
        <f>VLOOKUP(tbl_PurchaseOrder[[#This Row],[Supplier Code]],tbl_MasterSupplier[],2,FALSE)</f>
        <v>PT Industrial Lubricants Indonesia</v>
      </c>
      <c r="F17" s="6" t="s">
        <v>50</v>
      </c>
      <c r="G17" s="9" t="str">
        <f>_xlfn.XLOOKUP(tbl_PurchaseOrder[[#This Row],[Material Code]],tbl_MasterMaterial[Material Code],tbl_MasterMaterial[Material Description])</f>
        <v>Radiator Coolant 20L</v>
      </c>
      <c r="H17" s="14" t="s">
        <v>34</v>
      </c>
      <c r="I17" s="11">
        <v>120</v>
      </c>
      <c r="J17" s="33">
        <v>770000</v>
      </c>
      <c r="K17" s="31">
        <f>tbl_PurchaseOrder[[#This Row],[Ordered Qty]]*J17</f>
        <v>92400000</v>
      </c>
      <c r="L17" s="14" t="s">
        <v>19</v>
      </c>
      <c r="M17" s="12">
        <f>_xlfn.XLOOKUP(tbl_PurchaseOrder[[#This Row],[Material Code]],tbl_MasterMaterial[Material Code],tbl_MasterMaterial[Lead Time (Days)])</f>
        <v>5</v>
      </c>
      <c r="N17" s="15">
        <f>tbl_PurchaseOrder[[#This Row],[PO Date]]+tbl_PurchaseOrder[[#This Row],[Lead Time (Days)]]</f>
        <v>46249</v>
      </c>
      <c r="O17" s="3">
        <f>SUMIFS(tbl_GoodsReceipt[Received Qty],tbl_GoodsReceipt[PO Line Key (Helper)],tbl_PurchaseOrder[[#This Row],[PO Line Key (Helper)]])</f>
        <v>120</v>
      </c>
      <c r="P17" s="103">
        <f>IFERROR(tbl_PurchaseOrder[[#This Row],[Received Qty]]-tbl_PurchaseOrder[[#This Row],[Ordered Qty]],0)</f>
        <v>0</v>
      </c>
      <c r="Q17" s="16" t="str">
        <f>IF(tbl_PurchaseOrder[[#This Row],[Received Qty]]=0,"Open",IF(tbl_PurchaseOrder[[#This Row],[Received Qty]]&lt;tbl_PurchaseOrder[[#This Row],[Ordered Qty]],"Partial", "Closed"))</f>
        <v>Closed</v>
      </c>
      <c r="R17" s="6"/>
      <c r="S17" s="37" t="str">
        <f>tbl_PurchaseOrder[[#This Row],[PO Number]]&amp;"-"&amp;tbl_PurchaseOrder[[#This Row],[PO Line]]</f>
        <v>PO-2026-0006-20</v>
      </c>
    </row>
    <row r="18" spans="1:19" x14ac:dyDescent="0.25">
      <c r="A18" s="6" t="s">
        <v>303</v>
      </c>
      <c r="B18" s="7">
        <v>10</v>
      </c>
      <c r="C18" s="8">
        <v>46246</v>
      </c>
      <c r="D18" s="6" t="s">
        <v>259</v>
      </c>
      <c r="E18" s="9" t="str">
        <f>VLOOKUP(tbl_PurchaseOrder[[#This Row],[Supplier Code]],tbl_MasterSupplier[],2,FALSE)</f>
        <v>PT Industrial Consumables Indonesia</v>
      </c>
      <c r="F18" s="6" t="s">
        <v>31</v>
      </c>
      <c r="G18" s="9" t="str">
        <f>_xlfn.XLOOKUP(tbl_PurchaseOrder[[#This Row],[Material Code]],tbl_MasterMaterial[Material Code],tbl_MasterMaterial[Material Description])</f>
        <v>Industrial Degreaser 20L</v>
      </c>
      <c r="H18" s="14" t="s">
        <v>34</v>
      </c>
      <c r="I18" s="11">
        <v>70</v>
      </c>
      <c r="J18" s="33">
        <v>940000</v>
      </c>
      <c r="K18" s="31">
        <f>tbl_PurchaseOrder[[#This Row],[Ordered Qty]]*J18</f>
        <v>65800000</v>
      </c>
      <c r="L18" s="14" t="s">
        <v>19</v>
      </c>
      <c r="M18" s="12">
        <f>_xlfn.XLOOKUP(tbl_PurchaseOrder[[#This Row],[Material Code]],tbl_MasterMaterial[Material Code],tbl_MasterMaterial[Lead Time (Days)])</f>
        <v>5</v>
      </c>
      <c r="N18" s="15">
        <f>tbl_PurchaseOrder[[#This Row],[PO Date]]+tbl_PurchaseOrder[[#This Row],[Lead Time (Days)]]</f>
        <v>46251</v>
      </c>
      <c r="O18" s="3">
        <f>SUMIFS(tbl_GoodsReceipt[Received Qty],tbl_GoodsReceipt[PO Line Key (Helper)],tbl_PurchaseOrder[[#This Row],[PO Line Key (Helper)]])</f>
        <v>70</v>
      </c>
      <c r="P18" s="103">
        <f>IFERROR(tbl_PurchaseOrder[[#This Row],[Received Qty]]-tbl_PurchaseOrder[[#This Row],[Ordered Qty]],0)</f>
        <v>0</v>
      </c>
      <c r="Q18" s="16" t="str">
        <f>IF(tbl_PurchaseOrder[[#This Row],[Received Qty]]=0,"Open",IF(tbl_PurchaseOrder[[#This Row],[Received Qty]]&lt;tbl_PurchaseOrder[[#This Row],[Ordered Qty]],"Partial", "Closed"))</f>
        <v>Closed</v>
      </c>
      <c r="R18" s="6" t="s">
        <v>310</v>
      </c>
      <c r="S18" s="37" t="str">
        <f>tbl_PurchaseOrder[[#This Row],[PO Number]]&amp;"-"&amp;tbl_PurchaseOrder[[#This Row],[PO Line]]</f>
        <v>PO-2026-0007-10</v>
      </c>
    </row>
    <row r="19" spans="1:19" x14ac:dyDescent="0.25">
      <c r="A19" s="6" t="s">
        <v>303</v>
      </c>
      <c r="B19" s="7">
        <v>20</v>
      </c>
      <c r="C19" s="8">
        <v>46246</v>
      </c>
      <c r="D19" s="6" t="s">
        <v>259</v>
      </c>
      <c r="E19" s="9" t="str">
        <f>VLOOKUP(tbl_PurchaseOrder[[#This Row],[Supplier Code]],tbl_MasterSupplier[],2,FALSE)</f>
        <v>PT Industrial Consumables Indonesia</v>
      </c>
      <c r="F19" s="6" t="s">
        <v>60</v>
      </c>
      <c r="G19" s="9" t="str">
        <f>_xlfn.XLOOKUP(tbl_PurchaseOrder[[#This Row],[Material Code]],tbl_MasterMaterial[Material Code],tbl_MasterMaterial[Material Description])</f>
        <v>Cabin Air Filter</v>
      </c>
      <c r="H19" s="14" t="s">
        <v>17</v>
      </c>
      <c r="I19" s="11">
        <v>90</v>
      </c>
      <c r="J19" s="33">
        <v>315000</v>
      </c>
      <c r="K19" s="31">
        <f>tbl_PurchaseOrder[[#This Row],[Ordered Qty]]*J19</f>
        <v>28350000</v>
      </c>
      <c r="L19" s="14" t="s">
        <v>19</v>
      </c>
      <c r="M19" s="12">
        <f>_xlfn.XLOOKUP(tbl_PurchaseOrder[[#This Row],[Material Code]],tbl_MasterMaterial[Material Code],tbl_MasterMaterial[Lead Time (Days)])</f>
        <v>7</v>
      </c>
      <c r="N19" s="15">
        <f>tbl_PurchaseOrder[[#This Row],[PO Date]]+tbl_PurchaseOrder[[#This Row],[Lead Time (Days)]]</f>
        <v>46253</v>
      </c>
      <c r="O19" s="3">
        <f>SUMIFS(tbl_GoodsReceipt[Received Qty],tbl_GoodsReceipt[PO Line Key (Helper)],tbl_PurchaseOrder[[#This Row],[PO Line Key (Helper)]])</f>
        <v>90</v>
      </c>
      <c r="P19" s="103">
        <f>IFERROR(tbl_PurchaseOrder[[#This Row],[Received Qty]]-tbl_PurchaseOrder[[#This Row],[Ordered Qty]],0)</f>
        <v>0</v>
      </c>
      <c r="Q19" s="16" t="str">
        <f>IF(tbl_PurchaseOrder[[#This Row],[Received Qty]]=0,"Open",IF(tbl_PurchaseOrder[[#This Row],[Received Qty]]&lt;tbl_PurchaseOrder[[#This Row],[Ordered Qty]],"Partial", "Closed"))</f>
        <v>Closed</v>
      </c>
      <c r="R19" s="6"/>
      <c r="S19" s="37" t="str">
        <f>tbl_PurchaseOrder[[#This Row],[PO Number]]&amp;"-"&amp;tbl_PurchaseOrder[[#This Row],[PO Line]]</f>
        <v>PO-2026-0007-20</v>
      </c>
    </row>
    <row r="20" spans="1:19" x14ac:dyDescent="0.25">
      <c r="A20" s="6" t="s">
        <v>304</v>
      </c>
      <c r="B20" s="7">
        <v>10</v>
      </c>
      <c r="C20" s="8">
        <v>46248</v>
      </c>
      <c r="D20" s="6" t="s">
        <v>254</v>
      </c>
      <c r="E20" s="9" t="str">
        <f>VLOOKUP(tbl_PurchaseOrder[[#This Row],[Supplier Code]],tbl_MasterSupplier[],2,FALSE)</f>
        <v>PT Industrial Steel Supply</v>
      </c>
      <c r="F20" s="6" t="s">
        <v>58</v>
      </c>
      <c r="G20" s="9" t="str">
        <f>_xlfn.XLOOKUP(tbl_PurchaseOrder[[#This Row],[Material Code]],tbl_MasterMaterial[Material Code],tbl_MasterMaterial[Material Description])</f>
        <v>Steel I-Beam 6m Length</v>
      </c>
      <c r="H20" s="14" t="s">
        <v>17</v>
      </c>
      <c r="I20" s="11">
        <v>50</v>
      </c>
      <c r="J20" s="33">
        <v>5500000</v>
      </c>
      <c r="K20" s="31">
        <f>tbl_PurchaseOrder[[#This Row],[Ordered Qty]]*J20</f>
        <v>275000000</v>
      </c>
      <c r="L20" s="14" t="s">
        <v>19</v>
      </c>
      <c r="M20" s="12">
        <f>_xlfn.XLOOKUP(tbl_PurchaseOrder[[#This Row],[Material Code]],tbl_MasterMaterial[Material Code],tbl_MasterMaterial[Lead Time (Days)])</f>
        <v>25</v>
      </c>
      <c r="N20" s="15">
        <f>tbl_PurchaseOrder[[#This Row],[PO Date]]+tbl_PurchaseOrder[[#This Row],[Lead Time (Days)]]</f>
        <v>46273</v>
      </c>
      <c r="O20" s="3">
        <f>SUMIFS(tbl_GoodsReceipt[Received Qty],tbl_GoodsReceipt[PO Line Key (Helper)],tbl_PurchaseOrder[[#This Row],[PO Line Key (Helper)]])</f>
        <v>50</v>
      </c>
      <c r="P20" s="103">
        <f>IFERROR(tbl_PurchaseOrder[[#This Row],[Received Qty]]-tbl_PurchaseOrder[[#This Row],[Ordered Qty]],0)</f>
        <v>0</v>
      </c>
      <c r="Q20" s="16" t="str">
        <f>IF(tbl_PurchaseOrder[[#This Row],[Received Qty]]=0,"Open",IF(tbl_PurchaseOrder[[#This Row],[Received Qty]]&lt;tbl_PurchaseOrder[[#This Row],[Ordered Qty]],"Partial", "Closed"))</f>
        <v>Closed</v>
      </c>
      <c r="R20" s="6" t="s">
        <v>307</v>
      </c>
      <c r="S20" s="37" t="str">
        <f>tbl_PurchaseOrder[[#This Row],[PO Number]]&amp;"-"&amp;tbl_PurchaseOrder[[#This Row],[PO Line]]</f>
        <v>PO-2026-0008-10</v>
      </c>
    </row>
    <row r="21" spans="1:19" x14ac:dyDescent="0.25">
      <c r="A21" s="6" t="s">
        <v>305</v>
      </c>
      <c r="B21" s="7">
        <v>10</v>
      </c>
      <c r="C21" s="8">
        <v>46249</v>
      </c>
      <c r="D21" s="6" t="s">
        <v>257</v>
      </c>
      <c r="E21" s="9" t="str">
        <f>VLOOKUP(tbl_PurchaseOrder[[#This Row],[Supplier Code]],tbl_MasterSupplier[],2,FALSE)</f>
        <v>OEM Heavy Parts Corporation</v>
      </c>
      <c r="F21" s="6" t="s">
        <v>48</v>
      </c>
      <c r="G21" s="9" t="str">
        <f>_xlfn.XLOOKUP(tbl_PurchaseOrder[[#This Row],[Material Code]],tbl_MasterMaterial[Material Code],tbl_MasterMaterial[Material Description])</f>
        <v>Bucket Teeth (CAT style)</v>
      </c>
      <c r="H21" s="14" t="s">
        <v>17</v>
      </c>
      <c r="I21" s="11">
        <v>70</v>
      </c>
      <c r="J21" s="33">
        <v>615000</v>
      </c>
      <c r="K21" s="31">
        <f>tbl_PurchaseOrder[[#This Row],[Ordered Qty]]*J21</f>
        <v>43050000</v>
      </c>
      <c r="L21" s="14" t="s">
        <v>128</v>
      </c>
      <c r="M21" s="12">
        <f>_xlfn.XLOOKUP(tbl_PurchaseOrder[[#This Row],[Material Code]],tbl_MasterMaterial[Material Code],tbl_MasterMaterial[Lead Time (Days)])</f>
        <v>20</v>
      </c>
      <c r="N21" s="15">
        <f>tbl_PurchaseOrder[[#This Row],[PO Date]]+tbl_PurchaseOrder[[#This Row],[Lead Time (Days)]]</f>
        <v>46269</v>
      </c>
      <c r="O21" s="3">
        <f>SUMIFS(tbl_GoodsReceipt[Received Qty],tbl_GoodsReceipt[PO Line Key (Helper)],tbl_PurchaseOrder[[#This Row],[PO Line Key (Helper)]])</f>
        <v>0</v>
      </c>
      <c r="P21" s="103">
        <f>IFERROR(tbl_PurchaseOrder[[#This Row],[Received Qty]]-tbl_PurchaseOrder[[#This Row],[Ordered Qty]],0)</f>
        <v>-70</v>
      </c>
      <c r="Q21" s="16" t="str">
        <f>IF(tbl_PurchaseOrder[[#This Row],[Received Qty]]=0,"Open",IF(tbl_PurchaseOrder[[#This Row],[Received Qty]]&lt;tbl_PurchaseOrder[[#This Row],[Ordered Qty]],"Partial", "Closed"))</f>
        <v>Open</v>
      </c>
      <c r="R21" s="6"/>
      <c r="S21" s="37" t="str">
        <f>tbl_PurchaseOrder[[#This Row],[PO Number]]&amp;"-"&amp;tbl_PurchaseOrder[[#This Row],[PO Line]]</f>
        <v>PO-2026-0009-10</v>
      </c>
    </row>
    <row r="22" spans="1:19" x14ac:dyDescent="0.25">
      <c r="A22" s="6" t="s">
        <v>305</v>
      </c>
      <c r="B22" s="7">
        <v>20</v>
      </c>
      <c r="C22" s="8">
        <v>46249</v>
      </c>
      <c r="D22" s="6" t="s">
        <v>257</v>
      </c>
      <c r="E22" s="9" t="str">
        <f>VLOOKUP(tbl_PurchaseOrder[[#This Row],[Supplier Code]],tbl_MasterSupplier[],2,FALSE)</f>
        <v>OEM Heavy Parts Corporation</v>
      </c>
      <c r="F22" s="6" t="s">
        <v>64</v>
      </c>
      <c r="G22" s="9" t="str">
        <f>_xlfn.XLOOKUP(tbl_PurchaseOrder[[#This Row],[Material Code]],tbl_MasterMaterial[Material Code],tbl_MasterMaterial[Material Description])</f>
        <v>Undercarriage Chain Link Assembly</v>
      </c>
      <c r="H22" s="14" t="s">
        <v>17</v>
      </c>
      <c r="I22" s="11">
        <v>44</v>
      </c>
      <c r="J22" s="33">
        <v>8850000</v>
      </c>
      <c r="K22" s="31">
        <f>tbl_PurchaseOrder[[#This Row],[Ordered Qty]]*J22</f>
        <v>389400000</v>
      </c>
      <c r="L22" s="14" t="s">
        <v>128</v>
      </c>
      <c r="M22" s="12">
        <f>_xlfn.XLOOKUP(tbl_PurchaseOrder[[#This Row],[Material Code]],tbl_MasterMaterial[Material Code],tbl_MasterMaterial[Lead Time (Days)])</f>
        <v>40</v>
      </c>
      <c r="N22" s="15">
        <f>tbl_PurchaseOrder[[#This Row],[PO Date]]+tbl_PurchaseOrder[[#This Row],[Lead Time (Days)]]</f>
        <v>46289</v>
      </c>
      <c r="O22" s="3">
        <f>SUMIFS(tbl_GoodsReceipt[Received Qty],tbl_GoodsReceipt[PO Line Key (Helper)],tbl_PurchaseOrder[[#This Row],[PO Line Key (Helper)]])</f>
        <v>0</v>
      </c>
      <c r="P22" s="103">
        <f>IFERROR(tbl_PurchaseOrder[[#This Row],[Received Qty]]-tbl_PurchaseOrder[[#This Row],[Ordered Qty]],0)</f>
        <v>-44</v>
      </c>
      <c r="Q22" s="16" t="str">
        <f>IF(tbl_PurchaseOrder[[#This Row],[Received Qty]]=0,"Open",IF(tbl_PurchaseOrder[[#This Row],[Received Qty]]&lt;tbl_PurchaseOrder[[#This Row],[Ordered Qty]],"Partial", "Closed"))</f>
        <v>Open</v>
      </c>
      <c r="R22" s="6" t="s">
        <v>309</v>
      </c>
      <c r="S22" s="37" t="str">
        <f>tbl_PurchaseOrder[[#This Row],[PO Number]]&amp;"-"&amp;tbl_PurchaseOrder[[#This Row],[PO Line]]</f>
        <v>PO-2026-0009-20</v>
      </c>
    </row>
    <row r="23" spans="1:19" x14ac:dyDescent="0.25">
      <c r="A23" s="6" t="s">
        <v>306</v>
      </c>
      <c r="B23" s="7">
        <v>10</v>
      </c>
      <c r="C23" s="8">
        <v>46252</v>
      </c>
      <c r="D23" s="6" t="s">
        <v>260</v>
      </c>
      <c r="E23" s="9" t="str">
        <f>VLOOKUP(tbl_PurchaseOrder[[#This Row],[Supplier Code]],tbl_MasterSupplier[],2,FALSE)</f>
        <v>PT Metal Processing Supply</v>
      </c>
      <c r="F23" s="6" t="s">
        <v>43</v>
      </c>
      <c r="G23" s="9" t="str">
        <f>_xlfn.XLOOKUP(tbl_PurchaseOrder[[#This Row],[Material Code]],tbl_MasterMaterial[Material Code],tbl_MasterMaterial[Material Description])</f>
        <v>Welding Electrode E7018 3.2mm</v>
      </c>
      <c r="H23" s="14" t="s">
        <v>45</v>
      </c>
      <c r="I23" s="11">
        <v>290</v>
      </c>
      <c r="J23" s="33">
        <v>375000</v>
      </c>
      <c r="K23" s="31">
        <f>tbl_PurchaseOrder[[#This Row],[Ordered Qty]]*J23</f>
        <v>108750000</v>
      </c>
      <c r="L23" s="14" t="s">
        <v>19</v>
      </c>
      <c r="M23" s="12">
        <f>_xlfn.XLOOKUP(tbl_PurchaseOrder[[#This Row],[Material Code]],tbl_MasterMaterial[Material Code],tbl_MasterMaterial[Lead Time (Days)])</f>
        <v>7</v>
      </c>
      <c r="N23" s="15">
        <f>tbl_PurchaseOrder[[#This Row],[PO Date]]+tbl_PurchaseOrder[[#This Row],[Lead Time (Days)]]</f>
        <v>46259</v>
      </c>
      <c r="O23" s="3">
        <f>SUMIFS(tbl_GoodsReceipt[Received Qty],tbl_GoodsReceipt[PO Line Key (Helper)],tbl_PurchaseOrder[[#This Row],[PO Line Key (Helper)]])</f>
        <v>290</v>
      </c>
      <c r="P23" s="103">
        <f>IFERROR(tbl_PurchaseOrder[[#This Row],[Received Qty]]-tbl_PurchaseOrder[[#This Row],[Ordered Qty]],0)</f>
        <v>0</v>
      </c>
      <c r="Q23" s="16" t="str">
        <f>IF(tbl_PurchaseOrder[[#This Row],[Received Qty]]=0,"Open",IF(tbl_PurchaseOrder[[#This Row],[Received Qty]]&lt;tbl_PurchaseOrder[[#This Row],[Ordered Qty]],"Partial", "Closed"))</f>
        <v>Closed</v>
      </c>
      <c r="R23" s="6"/>
      <c r="S23" s="37" t="str">
        <f>tbl_PurchaseOrder[[#This Row],[PO Number]]&amp;"-"&amp;tbl_PurchaseOrder[[#This Row],[PO Line]]</f>
        <v>PO-2026-0010-10</v>
      </c>
    </row>
    <row r="24" spans="1:19" x14ac:dyDescent="0.25">
      <c r="A24" s="6" t="s">
        <v>448</v>
      </c>
      <c r="B24" s="7">
        <v>10</v>
      </c>
      <c r="C24" s="8">
        <v>46253</v>
      </c>
      <c r="D24" s="6" t="s">
        <v>257</v>
      </c>
      <c r="E24" s="75" t="str">
        <f>VLOOKUP(tbl_PurchaseOrder[[#This Row],[Supplier Code]],tbl_MasterSupplier[],2,FALSE)</f>
        <v>OEM Heavy Parts Corporation</v>
      </c>
      <c r="F24" s="6" t="s">
        <v>36</v>
      </c>
      <c r="G24" s="75" t="str">
        <f>_xlfn.XLOOKUP(tbl_PurchaseOrder[[#This Row],[Material Code]],tbl_MasterMaterial[Material Code],tbl_MasterMaterial[Material Description])</f>
        <v>Track Roller Assembly</v>
      </c>
      <c r="H24" s="76" t="s">
        <v>17</v>
      </c>
      <c r="I24" s="11">
        <v>43</v>
      </c>
      <c r="J24" s="33">
        <v>7200000</v>
      </c>
      <c r="K24" s="31">
        <f>tbl_PurchaseOrder[[#This Row],[Ordered Qty]]*J24</f>
        <v>309600000</v>
      </c>
      <c r="L24" s="14" t="s">
        <v>128</v>
      </c>
      <c r="M24" s="12">
        <f>_xlfn.XLOOKUP(tbl_PurchaseOrder[[#This Row],[Material Code]],tbl_MasterMaterial[Material Code],tbl_MasterMaterial[Lead Time (Days)])</f>
        <v>30</v>
      </c>
      <c r="N24" s="15">
        <f>tbl_PurchaseOrder[[#This Row],[PO Date]]+tbl_PurchaseOrder[[#This Row],[Lead Time (Days)]]</f>
        <v>46283</v>
      </c>
      <c r="O24" s="81">
        <f>SUMIFS(tbl_GoodsReceipt[Received Qty],tbl_GoodsReceipt[PO Line Key (Helper)],tbl_PurchaseOrder[[#This Row],[PO Line Key (Helper)]])</f>
        <v>43</v>
      </c>
      <c r="P24" s="104">
        <f>IFERROR(tbl_PurchaseOrder[[#This Row],[Received Qty]]-tbl_PurchaseOrder[[#This Row],[Ordered Qty]],0)</f>
        <v>0</v>
      </c>
      <c r="Q24" s="77" t="str">
        <f>IF(tbl_PurchaseOrder[[#This Row],[Received Qty]]=0,"Open",IF(tbl_PurchaseOrder[[#This Row],[Received Qty]]&lt;tbl_PurchaseOrder[[#This Row],[Ordered Qty]],"Partial", "Closed"))</f>
        <v>Closed</v>
      </c>
      <c r="R24" s="6"/>
      <c r="S24" s="37" t="str">
        <f>tbl_PurchaseOrder[[#This Row],[PO Number]]&amp;"-"&amp;tbl_PurchaseOrder[[#This Row],[PO Line]]</f>
        <v>PO-2026-0011-10</v>
      </c>
    </row>
    <row r="25" spans="1:19" x14ac:dyDescent="0.25">
      <c r="A25" s="6" t="s">
        <v>449</v>
      </c>
      <c r="B25" s="7">
        <v>10</v>
      </c>
      <c r="C25" s="8">
        <v>46254</v>
      </c>
      <c r="D25" s="6" t="s">
        <v>23</v>
      </c>
      <c r="E25" s="75" t="str">
        <f>VLOOKUP(tbl_PurchaseOrder[[#This Row],[Supplier Code]],tbl_MasterSupplier[],2,FALSE)</f>
        <v>Global Engine Components Pte Ltd</v>
      </c>
      <c r="F25" s="6" t="s">
        <v>54</v>
      </c>
      <c r="G25" s="75" t="str">
        <f>_xlfn.XLOOKUP(tbl_PurchaseOrder[[#This Row],[Material Code]],tbl_MasterMaterial[Material Code],tbl_MasterMaterial[Material Description])</f>
        <v>Turbocharger Assembly (Cat C15)</v>
      </c>
      <c r="H25" s="76" t="s">
        <v>17</v>
      </c>
      <c r="I25" s="11">
        <v>30</v>
      </c>
      <c r="J25" s="33">
        <v>16250000</v>
      </c>
      <c r="K25" s="31">
        <f>tbl_PurchaseOrder[[#This Row],[Ordered Qty]]*J25</f>
        <v>487500000</v>
      </c>
      <c r="L25" s="14" t="s">
        <v>128</v>
      </c>
      <c r="M25" s="12">
        <f>_xlfn.XLOOKUP(tbl_PurchaseOrder[[#This Row],[Material Code]],tbl_MasterMaterial[Material Code],tbl_MasterMaterial[Lead Time (Days)])</f>
        <v>35</v>
      </c>
      <c r="N25" s="15">
        <f>tbl_PurchaseOrder[[#This Row],[PO Date]]+tbl_PurchaseOrder[[#This Row],[Lead Time (Days)]]</f>
        <v>46289</v>
      </c>
      <c r="O25" s="81">
        <f>SUMIFS(tbl_GoodsReceipt[Received Qty],tbl_GoodsReceipt[PO Line Key (Helper)],tbl_PurchaseOrder[[#This Row],[PO Line Key (Helper)]])</f>
        <v>30</v>
      </c>
      <c r="P25" s="104">
        <f>IFERROR(tbl_PurchaseOrder[[#This Row],[Received Qty]]-tbl_PurchaseOrder[[#This Row],[Ordered Qty]],0)</f>
        <v>0</v>
      </c>
      <c r="Q25" s="77" t="str">
        <f>IF(tbl_PurchaseOrder[[#This Row],[Received Qty]]=0,"Open",IF(tbl_PurchaseOrder[[#This Row],[Received Qty]]&lt;tbl_PurchaseOrder[[#This Row],[Ordered Qty]],"Partial", "Closed"))</f>
        <v>Closed</v>
      </c>
      <c r="R25" s="6"/>
      <c r="S25" s="37" t="str">
        <f>tbl_PurchaseOrder[[#This Row],[PO Number]]&amp;"-"&amp;tbl_PurchaseOrder[[#This Row],[PO Line]]</f>
        <v>PO-2026-0012-10</v>
      </c>
    </row>
    <row r="26" spans="1:19" x14ac:dyDescent="0.25">
      <c r="A26" s="6" t="s">
        <v>450</v>
      </c>
      <c r="B26" s="7">
        <v>10</v>
      </c>
      <c r="C26" s="8">
        <v>46255</v>
      </c>
      <c r="D26" s="6" t="s">
        <v>257</v>
      </c>
      <c r="E26" s="75" t="str">
        <f>VLOOKUP(tbl_PurchaseOrder[[#This Row],[Supplier Code]],tbl_MasterSupplier[],2,FALSE)</f>
        <v>OEM Heavy Parts Corporation</v>
      </c>
      <c r="F26" s="6" t="s">
        <v>48</v>
      </c>
      <c r="G26" s="75" t="str">
        <f>_xlfn.XLOOKUP(tbl_PurchaseOrder[[#This Row],[Material Code]],tbl_MasterMaterial[Material Code],tbl_MasterMaterial[Material Description])</f>
        <v>Bucket Teeth (CAT style)</v>
      </c>
      <c r="H26" s="76" t="s">
        <v>17</v>
      </c>
      <c r="I26" s="11">
        <v>60</v>
      </c>
      <c r="J26" s="33">
        <v>735000</v>
      </c>
      <c r="K26" s="31">
        <f>tbl_PurchaseOrder[[#This Row],[Ordered Qty]]*J26</f>
        <v>44100000</v>
      </c>
      <c r="L26" s="14" t="s">
        <v>128</v>
      </c>
      <c r="M26" s="12">
        <f>_xlfn.XLOOKUP(tbl_PurchaseOrder[[#This Row],[Material Code]],tbl_MasterMaterial[Material Code],tbl_MasterMaterial[Lead Time (Days)])</f>
        <v>20</v>
      </c>
      <c r="N26" s="15">
        <f>tbl_PurchaseOrder[[#This Row],[PO Date]]+tbl_PurchaseOrder[[#This Row],[Lead Time (Days)]]</f>
        <v>46275</v>
      </c>
      <c r="O26" s="81">
        <f>SUMIFS(tbl_GoodsReceipt[Received Qty],tbl_GoodsReceipt[PO Line Key (Helper)],tbl_PurchaseOrder[[#This Row],[PO Line Key (Helper)]])</f>
        <v>60</v>
      </c>
      <c r="P26" s="104">
        <f>IFERROR(tbl_PurchaseOrder[[#This Row],[Received Qty]]-tbl_PurchaseOrder[[#This Row],[Ordered Qty]],0)</f>
        <v>0</v>
      </c>
      <c r="Q26" s="77" t="str">
        <f>IF(tbl_PurchaseOrder[[#This Row],[Received Qty]]=0,"Open",IF(tbl_PurchaseOrder[[#This Row],[Received Qty]]&lt;tbl_PurchaseOrder[[#This Row],[Ordered Qty]],"Partial", "Closed"))</f>
        <v>Closed</v>
      </c>
      <c r="R26" s="6"/>
      <c r="S26" s="37" t="str">
        <f>tbl_PurchaseOrder[[#This Row],[PO Number]]&amp;"-"&amp;tbl_PurchaseOrder[[#This Row],[PO Line]]</f>
        <v>PO-2026-0013-10</v>
      </c>
    </row>
    <row r="28" spans="1:19" x14ac:dyDescent="0.25">
      <c r="A28" s="38"/>
      <c r="B28" s="39"/>
      <c r="C28" s="40"/>
      <c r="D28" s="38"/>
      <c r="E28" s="43"/>
      <c r="F28" s="38"/>
      <c r="G28" s="43"/>
      <c r="H28" s="53"/>
      <c r="I28" s="48"/>
      <c r="J28" s="55"/>
      <c r="K28" s="56"/>
      <c r="L28" s="57"/>
      <c r="M28" s="44"/>
      <c r="N28" s="58"/>
      <c r="O28" s="59"/>
      <c r="P28" s="59"/>
      <c r="Q28" s="50"/>
      <c r="R28" s="38"/>
      <c r="S28" s="60"/>
    </row>
    <row r="29" spans="1:19" x14ac:dyDescent="0.25">
      <c r="A29" s="38"/>
      <c r="B29" s="39"/>
      <c r="C29" s="40"/>
      <c r="D29" s="38"/>
      <c r="E29" s="43"/>
      <c r="F29" s="38"/>
      <c r="G29" s="43"/>
      <c r="H29" s="53"/>
      <c r="I29" s="48"/>
      <c r="J29" s="55"/>
      <c r="K29" s="56"/>
      <c r="L29" s="57"/>
      <c r="M29" s="44"/>
      <c r="N29" s="58"/>
      <c r="O29" s="59"/>
      <c r="P29" s="59"/>
      <c r="Q29" s="50"/>
      <c r="R29" s="38"/>
      <c r="S29" s="60"/>
    </row>
    <row r="30" spans="1:19" x14ac:dyDescent="0.25">
      <c r="M30" s="95"/>
    </row>
    <row r="31" spans="1:19" x14ac:dyDescent="0.25">
      <c r="I31" s="29"/>
    </row>
    <row r="32" spans="1:19" x14ac:dyDescent="0.25">
      <c r="A32" s="4" t="s">
        <v>67</v>
      </c>
    </row>
    <row r="33" spans="11:11" x14ac:dyDescent="0.25">
      <c r="K33"/>
    </row>
    <row r="34" spans="11:11" x14ac:dyDescent="0.25">
      <c r="K34"/>
    </row>
    <row r="35" spans="11:11" x14ac:dyDescent="0.25">
      <c r="K35"/>
    </row>
    <row r="36" spans="11:11" x14ac:dyDescent="0.25">
      <c r="K36"/>
    </row>
    <row r="37" spans="11:11" x14ac:dyDescent="0.25">
      <c r="K37"/>
    </row>
    <row r="38" spans="11:11" x14ac:dyDescent="0.25">
      <c r="K38"/>
    </row>
    <row r="39" spans="11:11" x14ac:dyDescent="0.25">
      <c r="K39"/>
    </row>
    <row r="40" spans="11:11" x14ac:dyDescent="0.25">
      <c r="K40"/>
    </row>
    <row r="41" spans="11:11" x14ac:dyDescent="0.25">
      <c r="K41"/>
    </row>
    <row r="42" spans="11:11" x14ac:dyDescent="0.25">
      <c r="K42"/>
    </row>
    <row r="43" spans="11:11" x14ac:dyDescent="0.25">
      <c r="K43"/>
    </row>
    <row r="44" spans="11:11" ht="75" customHeight="1" x14ac:dyDescent="0.25">
      <c r="K44"/>
    </row>
    <row r="45" spans="11:11" ht="75" customHeight="1" x14ac:dyDescent="0.25">
      <c r="K45"/>
    </row>
    <row r="46" spans="11:11" ht="60" customHeight="1" x14ac:dyDescent="0.25">
      <c r="K46"/>
    </row>
    <row r="47" spans="11:11" ht="60" customHeight="1" x14ac:dyDescent="0.25">
      <c r="K47"/>
    </row>
    <row r="48" spans="11:11" ht="60" customHeight="1" x14ac:dyDescent="0.25">
      <c r="K48"/>
    </row>
    <row r="49" spans="11:11" ht="60" customHeight="1" x14ac:dyDescent="0.25">
      <c r="K49"/>
    </row>
    <row r="50" spans="11:11" ht="45" customHeight="1" x14ac:dyDescent="0.25">
      <c r="K50"/>
    </row>
    <row r="51" spans="11:11" ht="75" customHeight="1" x14ac:dyDescent="0.25">
      <c r="K51"/>
    </row>
    <row r="52" spans="11:11" ht="45" customHeight="1" x14ac:dyDescent="0.25">
      <c r="K52"/>
    </row>
    <row r="53" spans="11:11" ht="45" customHeight="1" x14ac:dyDescent="0.25">
      <c r="K53"/>
    </row>
    <row r="54" spans="11:11" x14ac:dyDescent="0.25">
      <c r="K54"/>
    </row>
    <row r="55" spans="11:11" ht="60" customHeight="1" x14ac:dyDescent="0.25">
      <c r="K55"/>
    </row>
    <row r="56" spans="11:11" ht="45" customHeight="1" x14ac:dyDescent="0.25">
      <c r="K56"/>
    </row>
    <row r="57" spans="11:11" ht="60" customHeight="1" x14ac:dyDescent="0.25">
      <c r="K57"/>
    </row>
    <row r="58" spans="11:11" ht="75" customHeight="1" x14ac:dyDescent="0.25">
      <c r="K58"/>
    </row>
    <row r="59" spans="11:11" ht="45" customHeight="1" x14ac:dyDescent="0.25">
      <c r="K59"/>
    </row>
    <row r="60" spans="11:11" x14ac:dyDescent="0.25">
      <c r="K60"/>
    </row>
    <row r="61" spans="11:11" ht="30" customHeight="1" x14ac:dyDescent="0.25">
      <c r="K61"/>
    </row>
    <row r="62" spans="11:11" ht="30" customHeight="1" x14ac:dyDescent="0.25">
      <c r="K62"/>
    </row>
    <row r="63" spans="11:11" ht="45" customHeight="1" x14ac:dyDescent="0.25">
      <c r="K63"/>
    </row>
    <row r="64" spans="11:11" x14ac:dyDescent="0.25">
      <c r="K64"/>
    </row>
    <row r="65" spans="11:11" x14ac:dyDescent="0.25">
      <c r="K65"/>
    </row>
    <row r="66" spans="11:11" x14ac:dyDescent="0.25">
      <c r="K66"/>
    </row>
    <row r="67" spans="11:11" x14ac:dyDescent="0.25">
      <c r="K67"/>
    </row>
    <row r="68" spans="11:11" x14ac:dyDescent="0.25">
      <c r="K68"/>
    </row>
    <row r="69" spans="11:11" x14ac:dyDescent="0.25">
      <c r="K69"/>
    </row>
    <row r="70" spans="11:11" x14ac:dyDescent="0.25">
      <c r="K70"/>
    </row>
    <row r="71" spans="11:11" x14ac:dyDescent="0.25">
      <c r="K71"/>
    </row>
    <row r="72" spans="11:11" x14ac:dyDescent="0.25">
      <c r="K72"/>
    </row>
    <row r="73" spans="11:11" x14ac:dyDescent="0.25">
      <c r="K73"/>
    </row>
    <row r="74" spans="11:11" x14ac:dyDescent="0.25">
      <c r="K74"/>
    </row>
    <row r="75" spans="11:11" x14ac:dyDescent="0.25">
      <c r="K75"/>
    </row>
    <row r="76" spans="11:11" x14ac:dyDescent="0.25">
      <c r="K76"/>
    </row>
    <row r="77" spans="11:11" x14ac:dyDescent="0.25">
      <c r="K77"/>
    </row>
    <row r="78" spans="11:11" x14ac:dyDescent="0.25">
      <c r="K78"/>
    </row>
    <row r="79" spans="11:11" x14ac:dyDescent="0.25">
      <c r="K79"/>
    </row>
  </sheetData>
  <mergeCells count="1">
    <mergeCell ref="A1:S1"/>
  </mergeCells>
  <phoneticPr fontId="10" type="noConversion"/>
  <conditionalFormatting sqref="C33:C79">
    <cfRule type="expression" dxfId="63" priority="127">
      <formula>$C33="Urgent"</formula>
    </cfRule>
  </conditionalFormatting>
  <conditionalFormatting sqref="G33:G79">
    <cfRule type="expression" dxfId="62" priority="131">
      <formula>$G33="Cancelled"</formula>
    </cfRule>
    <cfRule type="expression" dxfId="61" priority="132">
      <formula>$G33="Closed"</formula>
    </cfRule>
    <cfRule type="expression" dxfId="60" priority="133">
      <formula>$G33="Open"</formula>
    </cfRule>
  </conditionalFormatting>
  <conditionalFormatting sqref="L4:L26 L28:L29">
    <cfRule type="expression" dxfId="59" priority="56">
      <formula>$L4="Urgent"</formula>
    </cfRule>
  </conditionalFormatting>
  <conditionalFormatting sqref="N30:N32 N80:N515">
    <cfRule type="expression" dxfId="58" priority="3">
      <formula>$N30="Urgent"</formula>
    </cfRule>
  </conditionalFormatting>
  <conditionalFormatting sqref="Q4:Q26 Q28:Q29">
    <cfRule type="expression" dxfId="57" priority="1">
      <formula>$Q4="Partial"</formula>
    </cfRule>
    <cfRule type="expression" dxfId="56" priority="64">
      <formula>$Q4="Cancelled"</formula>
    </cfRule>
    <cfRule type="expression" dxfId="55" priority="65">
      <formula>$Q4="Closed"</formula>
    </cfRule>
    <cfRule type="expression" dxfId="54" priority="66">
      <formula>$Q4="Open"</formula>
    </cfRule>
  </conditionalFormatting>
  <conditionalFormatting sqref="R30:R32 R80:R515">
    <cfRule type="expression" dxfId="53" priority="4">
      <formula>$R30="Cancelled"</formula>
    </cfRule>
    <cfRule type="expression" dxfId="52" priority="5">
      <formula>$R30="Closed"</formula>
    </cfRule>
    <cfRule type="expression" dxfId="51" priority="6">
      <formula>$R30="Open"</formula>
    </cfRule>
  </conditionalFormatting>
  <dataValidations xWindow="308" yWindow="700" count="1">
    <dataValidation type="list" showInputMessage="1" showErrorMessage="1" errorTitle="Invalid entry" error="Please select a value from the list." promptTitle="Order Priority" prompt="Standard or Urgent (emergency) order." sqref="L28:L29 L4:L26 C33:C79 N30:N32 N80:N515" xr:uid="{00000000-0002-0000-0300-000002000000}">
      <formula1>"Standard,Urgent"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xWindow="308" yWindow="700" count="4">
        <x14:dataValidation type="list" showInputMessage="1" showErrorMessage="1" errorTitle="Invalid entry" error="Please select a value from the list." promptTitle="Material Code" prompt="Select a valid material code from the master." xr:uid="{00000000-0002-0000-0300-000000000000}">
          <x14:formula1>
            <xm:f>'01_Master_Material'!$A$4:$A$23</xm:f>
          </x14:formula1>
          <x14:formula2>
            <xm:f>0</xm:f>
          </x14:formula2>
          <xm:sqref>F80:F515 F28:F32 F4:F26</xm:sqref>
        </x14:dataValidation>
        <x14:dataValidation type="list" showInputMessage="1" showErrorMessage="1" errorTitle="Invalid entry" error="Please select a value from the list." promptTitle="Supplier Code" prompt="Select a valid supplier code from the master." xr:uid="{00000000-0002-0000-0300-000001000000}">
          <x14:formula1>
            <xm:f>'02_Master_Supplier'!$A$4:$A$13</xm:f>
          </x14:formula1>
          <x14:formula2>
            <xm:f>0</xm:f>
          </x14:formula2>
          <xm:sqref>D30:D32 D80:D515</xm:sqref>
        </x14:dataValidation>
        <x14:dataValidation type="list" showInputMessage="1" showErrorMessage="1" errorTitle="Invalid entry" error="Please select a value from the list." promptTitle="Supplier Code" prompt="Select a valid supplier code from the master." xr:uid="{028D67C6-7D7B-422E-83B4-1A317410E764}">
          <x14:formula1>
            <xm:f>'02_Master_Supplier'!$A$4:$A$13</xm:f>
          </x14:formula1>
          <xm:sqref>D28:D29 D4:D6 D7:D26</xm:sqref>
        </x14:dataValidation>
        <x14:dataValidation type="list" showInputMessage="1" showErrorMessage="1" xr:uid="{FB1A5DC6-837A-4F87-BC99-CBF91D4E6F86}">
          <x14:formula1>
            <xm:f>'01_Master_Material'!$D$4:$D$23</xm:f>
          </x14:formula1>
          <xm:sqref>H13:H26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48"/>
  <sheetViews>
    <sheetView showGridLines="0" zoomScaleNormal="100" workbookViewId="0">
      <pane ySplit="3" topLeftCell="A4" activePane="bottomLeft" state="frozen"/>
      <selection pane="bottomLeft" activeCell="A2" sqref="A2"/>
    </sheetView>
  </sheetViews>
  <sheetFormatPr defaultColWidth="8.7109375" defaultRowHeight="15" x14ac:dyDescent="0.25"/>
  <cols>
    <col min="1" max="1" width="14" customWidth="1"/>
    <col min="2" max="2" width="8" customWidth="1"/>
    <col min="3" max="3" width="12" customWidth="1"/>
    <col min="4" max="4" width="14" customWidth="1"/>
    <col min="5" max="5" width="8" customWidth="1"/>
    <col min="6" max="6" width="16.7109375" bestFit="1" customWidth="1"/>
    <col min="7" max="7" width="14.7109375" customWidth="1"/>
    <col min="8" max="8" width="32.7109375" customWidth="1"/>
    <col min="9" max="9" width="12" customWidth="1"/>
    <col min="10" max="10" width="30" customWidth="1"/>
    <col min="11" max="11" width="14" customWidth="1"/>
    <col min="12" max="12" width="12" customWidth="1"/>
    <col min="13" max="13" width="14.42578125" bestFit="1" customWidth="1"/>
    <col min="14" max="14" width="17.85546875" bestFit="1" customWidth="1"/>
    <col min="15" max="15" width="17.85546875" customWidth="1"/>
    <col min="16" max="16" width="16.140625" customWidth="1"/>
    <col min="17" max="17" width="14" bestFit="1" customWidth="1"/>
    <col min="18" max="18" width="12" customWidth="1"/>
    <col min="19" max="19" width="11.140625" customWidth="1"/>
    <col min="20" max="20" width="10" customWidth="1"/>
    <col min="21" max="23" width="18" customWidth="1"/>
    <col min="24" max="24" width="14.28515625" customWidth="1"/>
    <col min="25" max="26" width="15.85546875" customWidth="1"/>
    <col min="27" max="27" width="33.5703125" bestFit="1" customWidth="1"/>
    <col min="28" max="28" width="16" customWidth="1"/>
  </cols>
  <sheetData>
    <row r="1" spans="1:28" ht="24" customHeight="1" x14ac:dyDescent="0.25">
      <c r="A1" s="109" t="s">
        <v>132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</row>
    <row r="3" spans="1:28" ht="31.5" customHeight="1" x14ac:dyDescent="0.25">
      <c r="A3" s="1" t="s">
        <v>133</v>
      </c>
      <c r="B3" s="1" t="s">
        <v>134</v>
      </c>
      <c r="C3" s="1" t="s">
        <v>135</v>
      </c>
      <c r="D3" s="1" t="s">
        <v>116</v>
      </c>
      <c r="E3" s="1" t="s">
        <v>117</v>
      </c>
      <c r="F3" s="1" t="s">
        <v>125</v>
      </c>
      <c r="G3" s="1" t="s">
        <v>72</v>
      </c>
      <c r="H3" s="1" t="s">
        <v>73</v>
      </c>
      <c r="I3" s="1" t="s">
        <v>1</v>
      </c>
      <c r="J3" s="1" t="s">
        <v>2</v>
      </c>
      <c r="K3" s="1" t="s">
        <v>311</v>
      </c>
      <c r="L3" s="1" t="s">
        <v>5</v>
      </c>
      <c r="M3" s="1" t="s">
        <v>119</v>
      </c>
      <c r="N3" s="1" t="s">
        <v>122</v>
      </c>
      <c r="O3" s="1" t="s">
        <v>313</v>
      </c>
      <c r="P3" s="1" t="s">
        <v>293</v>
      </c>
      <c r="Q3" s="1" t="s">
        <v>314</v>
      </c>
      <c r="R3" s="1" t="s">
        <v>296</v>
      </c>
      <c r="S3" s="1" t="s">
        <v>371</v>
      </c>
      <c r="T3" s="1" t="s">
        <v>372</v>
      </c>
      <c r="U3" s="1" t="s">
        <v>136</v>
      </c>
      <c r="V3" s="1" t="s">
        <v>137</v>
      </c>
      <c r="W3" s="1" t="s">
        <v>138</v>
      </c>
      <c r="X3" s="1" t="s">
        <v>312</v>
      </c>
      <c r="Y3" s="1" t="s">
        <v>315</v>
      </c>
      <c r="Z3" s="1" t="s">
        <v>346</v>
      </c>
      <c r="AA3" s="1" t="s">
        <v>124</v>
      </c>
      <c r="AB3" s="1" t="s">
        <v>139</v>
      </c>
    </row>
    <row r="4" spans="1:28" x14ac:dyDescent="0.25">
      <c r="A4" s="6" t="s">
        <v>140</v>
      </c>
      <c r="B4" s="7">
        <v>10</v>
      </c>
      <c r="C4" s="8">
        <v>46244</v>
      </c>
      <c r="D4" s="6" t="s">
        <v>127</v>
      </c>
      <c r="E4" s="7">
        <v>10</v>
      </c>
      <c r="F4" s="36" t="str">
        <f>tbl_GoodsReceipt[[#This Row],[PO Number]]&amp;"-"&amp;tbl_GoodsReceipt[[#This Row],[PO Line]]</f>
        <v>PO-2026-0002-10</v>
      </c>
      <c r="G4" s="35" t="str">
        <f>_xlfn.XLOOKUP(tbl_GoodsReceipt[[#This Row],[PO Line Key (Helper)]],tbl_PurchaseOrder[PO Line Key (Helper)],tbl_PurchaseOrder[Supplier Code])</f>
        <v>SUP-0005</v>
      </c>
      <c r="H4" s="35" t="str">
        <f>_xlfn.XLOOKUP(tbl_GoodsReceipt[[#This Row],[Supplier Code]],tbl_MasterSupplier[Supplier Code],tbl_MasterSupplier[Supplier Name])</f>
        <v>Global Engine Components Pte Ltd</v>
      </c>
      <c r="I4" s="9" t="str">
        <f>_xlfn.XLOOKUP(tbl_GoodsReceipt[[#This Row],[PO Line Key (Helper)]],tbl_PurchaseOrder[PO Line Key (Helper)],tbl_PurchaseOrder[Material Code])</f>
        <v>MAT-00003</v>
      </c>
      <c r="J4" s="9" t="str">
        <f>_xlfn.XLOOKUP(tbl_GoodsReceipt[[#This Row],[Material Code]],tbl_MasterMaterial[Material Code],tbl_MasterMaterial[Material Description])</f>
        <v>Engine Oil Filter (Cat 320D)</v>
      </c>
      <c r="K4" s="12">
        <f>_xlfn.XLOOKUP(tbl_GoodsReceipt[[#This Row],[PO Line Key (Helper)]],tbl_PurchaseOrder[PO Line Key (Helper)],tbl_PurchaseOrder[Ordered Qty])</f>
        <v>100</v>
      </c>
      <c r="L4" s="12" t="str">
        <f>_xlfn.XLOOKUP(tbl_GoodsReceipt[[#This Row],[PO Line Key (Helper)]],tbl_PurchaseOrder[PO Line Key (Helper)],tbl_PurchaseOrder[Purchase UoM])</f>
        <v>PCS</v>
      </c>
      <c r="M4" s="18">
        <f>_xlfn.XLOOKUP(tbl_GoodsReceipt[[#This Row],[PO Line Key (Helper)]],tbl_PurchaseOrder[PO Line Key (Helper)],tbl_PurchaseOrder[Unit Price])</f>
        <v>245000</v>
      </c>
      <c r="N4" s="20">
        <f>_xlfn.XLOOKUP(tbl_GoodsReceipt[[#This Row],[PO Line Key (Helper)]],tbl_PurchaseOrder[PO Line Key (Helper)],tbl_PurchaseOrder[Expected Delivery Date])</f>
        <v>46244</v>
      </c>
      <c r="O4" s="6" t="s">
        <v>327</v>
      </c>
      <c r="P4" s="6" t="s">
        <v>362</v>
      </c>
      <c r="Q4" s="6" t="s">
        <v>318</v>
      </c>
      <c r="R4" s="11">
        <v>80</v>
      </c>
      <c r="S4" s="11">
        <v>80</v>
      </c>
      <c r="T4" s="19">
        <f>tbl_GoodsReceipt[[#This Row],[Received Qty]]-tbl_GoodsReceipt[[#This Row],[Accepted Qty]]</f>
        <v>0</v>
      </c>
      <c r="U4" s="16" t="str">
        <f>IF(tbl_GoodsReceipt[[#This Row],[Accepted Qty]]=0,"Fully Rejected", IF(tbl_GoodsReceipt[[#This Row],[Rejected Qty]]=0,"Fully Accepted","Partialy Accepted"))</f>
        <v>Fully Accepted</v>
      </c>
      <c r="V4" s="6" t="s">
        <v>141</v>
      </c>
      <c r="W4" s="6" t="s">
        <v>328</v>
      </c>
      <c r="X4" s="105">
        <f>tbl_GoodsReceipt[[#This Row],[Received Qty]]-tbl_GoodsReceipt[[#This Row],[Order Qty]]</f>
        <v>-20</v>
      </c>
      <c r="Y4" s="13">
        <f>IFERROR(tbl_GoodsReceipt[[#This Row],[Received Variance]]/tbl_GoodsReceipt[[#This Row],[Order Qty]],0)</f>
        <v>-0.2</v>
      </c>
      <c r="Z4" s="13" t="str">
        <f>IF(tbl_GoodsReceipt[[#This Row],[GR Date]]&lt;=tbl_GoodsReceipt[[#This Row],[Expected Delivery Date]],"On-time","Late")</f>
        <v>On-time</v>
      </c>
      <c r="AA4" s="6"/>
      <c r="AB4" s="17" t="str">
        <f>tbl_GoodsReceipt[[#This Row],[GR Number]]&amp;"-"&amp;tbl_GoodsReceipt[[#This Row],[GR Line]]</f>
        <v>GR-2026-0001-10</v>
      </c>
    </row>
    <row r="5" spans="1:28" x14ac:dyDescent="0.25">
      <c r="A5" s="6" t="s">
        <v>140</v>
      </c>
      <c r="B5" s="7">
        <v>20</v>
      </c>
      <c r="C5" s="8">
        <v>46244</v>
      </c>
      <c r="D5" s="6" t="s">
        <v>127</v>
      </c>
      <c r="E5" s="7">
        <v>20</v>
      </c>
      <c r="F5" s="36" t="str">
        <f>tbl_GoodsReceipt[[#This Row],[PO Number]]&amp;"-"&amp;tbl_GoodsReceipt[[#This Row],[PO Line]]</f>
        <v>PO-2026-0002-20</v>
      </c>
      <c r="G5" s="35" t="str">
        <f>_xlfn.XLOOKUP(tbl_GoodsReceipt[[#This Row],[PO Line Key (Helper)]],tbl_PurchaseOrder[PO Line Key (Helper)],tbl_PurchaseOrder[Supplier Code])</f>
        <v>SUP-0005</v>
      </c>
      <c r="H5" s="35" t="str">
        <f>_xlfn.XLOOKUP(tbl_GoodsReceipt[[#This Row],[Supplier Code]],tbl_MasterSupplier[Supplier Code],tbl_MasterSupplier[Supplier Name])</f>
        <v>Global Engine Components Pte Ltd</v>
      </c>
      <c r="I5" s="9" t="str">
        <f>_xlfn.XLOOKUP(tbl_GoodsReceipt[[#This Row],[PO Line Key (Helper)]],tbl_PurchaseOrder[PO Line Key (Helper)],tbl_PurchaseOrder[Material Code])</f>
        <v>MAT-00007</v>
      </c>
      <c r="J5" s="9" t="str">
        <f>_xlfn.XLOOKUP(tbl_GoodsReceipt[[#This Row],[Material Code]],tbl_MasterMaterial[Material Code],tbl_MasterMaterial[Material Description])</f>
        <v>Air Filter Element - Primary</v>
      </c>
      <c r="K5" s="12">
        <f>_xlfn.XLOOKUP(tbl_GoodsReceipt[[#This Row],[PO Line Key (Helper)]],tbl_PurchaseOrder[PO Line Key (Helper)],tbl_PurchaseOrder[Ordered Qty])</f>
        <v>80</v>
      </c>
      <c r="L5" s="12" t="str">
        <f>_xlfn.XLOOKUP(tbl_GoodsReceipt[[#This Row],[PO Line Key (Helper)]],tbl_PurchaseOrder[PO Line Key (Helper)],tbl_PurchaseOrder[Purchase UoM])</f>
        <v>PCS</v>
      </c>
      <c r="M5" s="18">
        <f>_xlfn.XLOOKUP(tbl_GoodsReceipt[[#This Row],[PO Line Key (Helper)]],tbl_PurchaseOrder[PO Line Key (Helper)],tbl_PurchaseOrder[Unit Price])</f>
        <v>410000</v>
      </c>
      <c r="N5" s="20">
        <f>_xlfn.XLOOKUP(tbl_GoodsReceipt[[#This Row],[PO Line Key (Helper)]],tbl_PurchaseOrder[PO Line Key (Helper)],tbl_PurchaseOrder[Expected Delivery Date])</f>
        <v>46247</v>
      </c>
      <c r="O5" s="6" t="s">
        <v>327</v>
      </c>
      <c r="P5" s="6" t="s">
        <v>362</v>
      </c>
      <c r="Q5" s="6" t="s">
        <v>318</v>
      </c>
      <c r="R5" s="11">
        <v>60</v>
      </c>
      <c r="S5" s="11">
        <v>60</v>
      </c>
      <c r="T5" s="19">
        <f>tbl_GoodsReceipt[[#This Row],[Received Qty]]-tbl_GoodsReceipt[[#This Row],[Accepted Qty]]</f>
        <v>0</v>
      </c>
      <c r="U5" s="16" t="str">
        <f>IF(tbl_GoodsReceipt[[#This Row],[Accepted Qty]]=0,"Fully Rejected", IF(tbl_GoodsReceipt[[#This Row],[Rejected Qty]]=0,"Fully Accepted","Partialy Accepted"))</f>
        <v>Fully Accepted</v>
      </c>
      <c r="V5" s="6" t="s">
        <v>141</v>
      </c>
      <c r="W5" s="6" t="s">
        <v>328</v>
      </c>
      <c r="X5" s="105">
        <f>tbl_GoodsReceipt[[#This Row],[Received Qty]]-tbl_GoodsReceipt[[#This Row],[Order Qty]]</f>
        <v>-20</v>
      </c>
      <c r="Y5" s="13">
        <f>IFERROR(tbl_GoodsReceipt[[#This Row],[Received Variance]]/tbl_GoodsReceipt[[#This Row],[Order Qty]],0)</f>
        <v>-0.25</v>
      </c>
      <c r="Z5" s="13" t="str">
        <f>IF(tbl_GoodsReceipt[[#This Row],[GR Date]]&lt;=tbl_GoodsReceipt[[#This Row],[Expected Delivery Date]],"On-time","Late")</f>
        <v>On-time</v>
      </c>
      <c r="AA5" s="6"/>
      <c r="AB5" s="17" t="str">
        <f>tbl_GoodsReceipt[[#This Row],[GR Number]]&amp;"-"&amp;tbl_GoodsReceipt[[#This Row],[GR Line]]</f>
        <v>GR-2026-0001-20</v>
      </c>
    </row>
    <row r="6" spans="1:28" x14ac:dyDescent="0.25">
      <c r="A6" s="6" t="s">
        <v>143</v>
      </c>
      <c r="B6" s="7">
        <v>10</v>
      </c>
      <c r="C6" s="8">
        <v>46249</v>
      </c>
      <c r="D6" s="6" t="s">
        <v>126</v>
      </c>
      <c r="E6" s="7">
        <v>10</v>
      </c>
      <c r="F6" s="36" t="str">
        <f>tbl_GoodsReceipt[[#This Row],[PO Number]]&amp;"-"&amp;tbl_GoodsReceipt[[#This Row],[PO Line]]</f>
        <v>PO-2026-0001-10</v>
      </c>
      <c r="G6" s="35" t="str">
        <f>_xlfn.XLOOKUP(tbl_GoodsReceipt[[#This Row],[PO Line Key (Helper)]],tbl_PurchaseOrder[PO Line Key (Helper)],tbl_PurchaseOrder[Supplier Code])</f>
        <v>SUP-0007</v>
      </c>
      <c r="H6" s="35" t="str">
        <f>_xlfn.XLOOKUP(tbl_GoodsReceipt[[#This Row],[Supplier Code]],tbl_MasterSupplier[Supplier Code],tbl_MasterSupplier[Supplier Name])</f>
        <v>Global Hydraulic Solutions Pte Ltd</v>
      </c>
      <c r="I6" s="9" t="str">
        <f>_xlfn.XLOOKUP(tbl_GoodsReceipt[[#This Row],[PO Line Key (Helper)]],tbl_PurchaseOrder[PO Line Key (Helper)],tbl_PurchaseOrder[Material Code])</f>
        <v>MAT-00001</v>
      </c>
      <c r="J6" s="9" t="str">
        <f>_xlfn.XLOOKUP(tbl_GoodsReceipt[[#This Row],[Material Code]],tbl_MasterMaterial[Material Code],tbl_MasterMaterial[Material Description])</f>
        <v>Hydraulic Cylinder Seal Kit 80mm</v>
      </c>
      <c r="K6" s="12">
        <f>_xlfn.XLOOKUP(tbl_GoodsReceipt[[#This Row],[PO Line Key (Helper)]],tbl_PurchaseOrder[PO Line Key (Helper)],tbl_PurchaseOrder[Ordered Qty])</f>
        <v>80</v>
      </c>
      <c r="L6" s="12" t="str">
        <f>_xlfn.XLOOKUP(tbl_GoodsReceipt[[#This Row],[PO Line Key (Helper)]],tbl_PurchaseOrder[PO Line Key (Helper)],tbl_PurchaseOrder[Purchase UoM])</f>
        <v>PCS</v>
      </c>
      <c r="M6" s="18">
        <f>_xlfn.XLOOKUP(tbl_GoodsReceipt[[#This Row],[PO Line Key (Helper)]],tbl_PurchaseOrder[PO Line Key (Helper)],tbl_PurchaseOrder[Unit Price])</f>
        <v>730000</v>
      </c>
      <c r="N6" s="20">
        <f>_xlfn.XLOOKUP(tbl_GoodsReceipt[[#This Row],[PO Line Key (Helper)]],tbl_PurchaseOrder[PO Line Key (Helper)],tbl_PurchaseOrder[Expected Delivery Date])</f>
        <v>46249</v>
      </c>
      <c r="O6" s="6" t="s">
        <v>316</v>
      </c>
      <c r="P6" s="6" t="s">
        <v>359</v>
      </c>
      <c r="Q6" s="6" t="s">
        <v>317</v>
      </c>
      <c r="R6" s="11">
        <v>80</v>
      </c>
      <c r="S6" s="11">
        <v>80</v>
      </c>
      <c r="T6" s="19">
        <f>tbl_GoodsReceipt[[#This Row],[Received Qty]]-tbl_GoodsReceipt[[#This Row],[Accepted Qty]]</f>
        <v>0</v>
      </c>
      <c r="U6" s="16" t="str">
        <f>IF(tbl_GoodsReceipt[[#This Row],[Accepted Qty]]=0,"Fully Rejected", IF(tbl_GoodsReceipt[[#This Row],[Rejected Qty]]=0,"Fully Accepted","Partialy Accepted"))</f>
        <v>Fully Accepted</v>
      </c>
      <c r="V6" s="6" t="s">
        <v>141</v>
      </c>
      <c r="W6" s="6" t="s">
        <v>325</v>
      </c>
      <c r="X6" s="105">
        <f>tbl_GoodsReceipt[[#This Row],[Received Qty]]-tbl_GoodsReceipt[[#This Row],[Order Qty]]</f>
        <v>0</v>
      </c>
      <c r="Y6" s="13">
        <f>IFERROR(tbl_GoodsReceipt[[#This Row],[Received Variance]]/tbl_GoodsReceipt[[#This Row],[Order Qty]],0)</f>
        <v>0</v>
      </c>
      <c r="Z6" s="13" t="str">
        <f>IF(tbl_GoodsReceipt[[#This Row],[GR Date]]&lt;=tbl_GoodsReceipt[[#This Row],[Expected Delivery Date]],"On-time","Late")</f>
        <v>On-time</v>
      </c>
      <c r="AA6" s="6"/>
      <c r="AB6" s="17" t="str">
        <f>tbl_GoodsReceipt[[#This Row],[GR Number]]&amp;"-"&amp;tbl_GoodsReceipt[[#This Row],[GR Line]]</f>
        <v>GR-2026-0002-10</v>
      </c>
    </row>
    <row r="7" spans="1:28" x14ac:dyDescent="0.25">
      <c r="A7" s="6" t="s">
        <v>143</v>
      </c>
      <c r="B7" s="7">
        <v>20</v>
      </c>
      <c r="C7" s="8">
        <v>46249</v>
      </c>
      <c r="D7" s="6" t="s">
        <v>126</v>
      </c>
      <c r="E7" s="7">
        <v>20</v>
      </c>
      <c r="F7" s="36" t="str">
        <f>tbl_GoodsReceipt[[#This Row],[PO Number]]&amp;"-"&amp;tbl_GoodsReceipt[[#This Row],[PO Line]]</f>
        <v>PO-2026-0001-20</v>
      </c>
      <c r="G7" s="35" t="str">
        <f>_xlfn.XLOOKUP(tbl_GoodsReceipt[[#This Row],[PO Line Key (Helper)]],tbl_PurchaseOrder[PO Line Key (Helper)],tbl_PurchaseOrder[Supplier Code])</f>
        <v>SUP-0007</v>
      </c>
      <c r="H7" s="35" t="str">
        <f>_xlfn.XLOOKUP(tbl_GoodsReceipt[[#This Row],[Supplier Code]],tbl_MasterSupplier[Supplier Code],tbl_MasterSupplier[Supplier Name])</f>
        <v>Global Hydraulic Solutions Pte Ltd</v>
      </c>
      <c r="I7" s="9" t="str">
        <f>_xlfn.XLOOKUP(tbl_GoodsReceipt[[#This Row],[PO Line Key (Helper)]],tbl_PurchaseOrder[PO Line Key (Helper)],tbl_PurchaseOrder[Material Code])</f>
        <v>MAT-00008</v>
      </c>
      <c r="J7" s="9" t="str">
        <f>_xlfn.XLOOKUP(tbl_GoodsReceipt[[#This Row],[Material Code]],tbl_MasterMaterial[Material Code],tbl_MasterMaterial[Material Description])</f>
        <v>Hydraulic Hose 1/2in x 3m</v>
      </c>
      <c r="K7" s="12">
        <f>_xlfn.XLOOKUP(tbl_GoodsReceipt[[#This Row],[PO Line Key (Helper)]],tbl_PurchaseOrder[PO Line Key (Helper)],tbl_PurchaseOrder[Ordered Qty])</f>
        <v>60</v>
      </c>
      <c r="L7" s="12" t="str">
        <f>_xlfn.XLOOKUP(tbl_GoodsReceipt[[#This Row],[PO Line Key (Helper)]],tbl_PurchaseOrder[PO Line Key (Helper)],tbl_PurchaseOrder[Purchase UoM])</f>
        <v>PCS</v>
      </c>
      <c r="M7" s="18">
        <f>_xlfn.XLOOKUP(tbl_GoodsReceipt[[#This Row],[PO Line Key (Helper)]],tbl_PurchaseOrder[PO Line Key (Helper)],tbl_PurchaseOrder[Unit Price])</f>
        <v>670000</v>
      </c>
      <c r="N7" s="20">
        <f>_xlfn.XLOOKUP(tbl_GoodsReceipt[[#This Row],[PO Line Key (Helper)]],tbl_PurchaseOrder[PO Line Key (Helper)],tbl_PurchaseOrder[Expected Delivery Date])</f>
        <v>46247</v>
      </c>
      <c r="O7" s="6" t="s">
        <v>316</v>
      </c>
      <c r="P7" s="6" t="s">
        <v>359</v>
      </c>
      <c r="Q7" s="6" t="s">
        <v>317</v>
      </c>
      <c r="R7" s="11">
        <v>60</v>
      </c>
      <c r="S7" s="11">
        <v>60</v>
      </c>
      <c r="T7" s="19">
        <f>tbl_GoodsReceipt[[#This Row],[Received Qty]]-tbl_GoodsReceipt[[#This Row],[Accepted Qty]]</f>
        <v>0</v>
      </c>
      <c r="U7" s="16" t="str">
        <f>IF(tbl_GoodsReceipt[[#This Row],[Accepted Qty]]=0,"Fully Rejected", IF(tbl_GoodsReceipt[[#This Row],[Rejected Qty]]=0,"Fully Accepted","Partialy Accepted"))</f>
        <v>Fully Accepted</v>
      </c>
      <c r="V7" s="6" t="s">
        <v>141</v>
      </c>
      <c r="W7" s="6" t="s">
        <v>325</v>
      </c>
      <c r="X7" s="105">
        <f>tbl_GoodsReceipt[[#This Row],[Received Qty]]-tbl_GoodsReceipt[[#This Row],[Order Qty]]</f>
        <v>0</v>
      </c>
      <c r="Y7" s="13">
        <f>IFERROR(tbl_GoodsReceipt[[#This Row],[Received Variance]]/tbl_GoodsReceipt[[#This Row],[Order Qty]],0)</f>
        <v>0</v>
      </c>
      <c r="Z7" s="13" t="str">
        <f>IF(tbl_GoodsReceipt[[#This Row],[GR Date]]&lt;=tbl_GoodsReceipt[[#This Row],[Expected Delivery Date]],"On-time","Late")</f>
        <v>Late</v>
      </c>
      <c r="AA7" s="6" t="s">
        <v>330</v>
      </c>
      <c r="AB7" s="17" t="str">
        <f>tbl_GoodsReceipt[[#This Row],[GR Number]]&amp;"-"&amp;tbl_GoodsReceipt[[#This Row],[GR Line]]</f>
        <v>GR-2026-0002-20</v>
      </c>
    </row>
    <row r="8" spans="1:28" x14ac:dyDescent="0.25">
      <c r="A8" s="6" t="s">
        <v>143</v>
      </c>
      <c r="B8" s="7">
        <v>30</v>
      </c>
      <c r="C8" s="8">
        <v>46249</v>
      </c>
      <c r="D8" s="6" t="s">
        <v>126</v>
      </c>
      <c r="E8" s="7">
        <v>30</v>
      </c>
      <c r="F8" s="36" t="str">
        <f>tbl_GoodsReceipt[[#This Row],[PO Number]]&amp;"-"&amp;tbl_GoodsReceipt[[#This Row],[PO Line]]</f>
        <v>PO-2026-0001-30</v>
      </c>
      <c r="G8" s="35" t="str">
        <f>_xlfn.XLOOKUP(tbl_GoodsReceipt[[#This Row],[PO Line Key (Helper)]],tbl_PurchaseOrder[PO Line Key (Helper)],tbl_PurchaseOrder[Supplier Code])</f>
        <v>SUP-0007</v>
      </c>
      <c r="H8" s="35" t="str">
        <f>_xlfn.XLOOKUP(tbl_GoodsReceipt[[#This Row],[Supplier Code]],tbl_MasterSupplier[Supplier Code],tbl_MasterSupplier[Supplier Name])</f>
        <v>Global Hydraulic Solutions Pte Ltd</v>
      </c>
      <c r="I8" s="9" t="str">
        <f>_xlfn.XLOOKUP(tbl_GoodsReceipt[[#This Row],[PO Line Key (Helper)]],tbl_PurchaseOrder[PO Line Key (Helper)],tbl_PurchaseOrder[Material Code])</f>
        <v>MAT-00019</v>
      </c>
      <c r="J8" s="9" t="str">
        <f>_xlfn.XLOOKUP(tbl_GoodsReceipt[[#This Row],[Material Code]],tbl_MasterMaterial[Material Code],tbl_MasterMaterial[Material Description])</f>
        <v>Bearing 6205-2RS</v>
      </c>
      <c r="K8" s="12">
        <f>_xlfn.XLOOKUP(tbl_GoodsReceipt[[#This Row],[PO Line Key (Helper)]],tbl_PurchaseOrder[PO Line Key (Helper)],tbl_PurchaseOrder[Ordered Qty])</f>
        <v>140</v>
      </c>
      <c r="L8" s="12" t="str">
        <f>_xlfn.XLOOKUP(tbl_GoodsReceipt[[#This Row],[PO Line Key (Helper)]],tbl_PurchaseOrder[PO Line Key (Helper)],tbl_PurchaseOrder[Purchase UoM])</f>
        <v>PCS</v>
      </c>
      <c r="M8" s="18">
        <f>_xlfn.XLOOKUP(tbl_GoodsReceipt[[#This Row],[PO Line Key (Helper)]],tbl_PurchaseOrder[PO Line Key (Helper)],tbl_PurchaseOrder[Unit Price])</f>
        <v>72000</v>
      </c>
      <c r="N8" s="20">
        <f>_xlfn.XLOOKUP(tbl_GoodsReceipt[[#This Row],[PO Line Key (Helper)]],tbl_PurchaseOrder[PO Line Key (Helper)],tbl_PurchaseOrder[Expected Delivery Date])</f>
        <v>46244</v>
      </c>
      <c r="O8" s="6" t="s">
        <v>316</v>
      </c>
      <c r="P8" s="6" t="s">
        <v>359</v>
      </c>
      <c r="Q8" s="6" t="s">
        <v>317</v>
      </c>
      <c r="R8" s="11">
        <v>140</v>
      </c>
      <c r="S8" s="11">
        <v>140</v>
      </c>
      <c r="T8" s="19">
        <f>tbl_GoodsReceipt[[#This Row],[Received Qty]]-tbl_GoodsReceipt[[#This Row],[Accepted Qty]]</f>
        <v>0</v>
      </c>
      <c r="U8" s="16" t="str">
        <f>IF(tbl_GoodsReceipt[[#This Row],[Accepted Qty]]=0,"Fully Rejected", IF(tbl_GoodsReceipt[[#This Row],[Rejected Qty]]=0,"Fully Accepted","Partialy Accepted"))</f>
        <v>Fully Accepted</v>
      </c>
      <c r="V8" s="6" t="s">
        <v>141</v>
      </c>
      <c r="W8" s="6" t="s">
        <v>326</v>
      </c>
      <c r="X8" s="105">
        <f>tbl_GoodsReceipt[[#This Row],[Received Qty]]-tbl_GoodsReceipt[[#This Row],[Order Qty]]</f>
        <v>0</v>
      </c>
      <c r="Y8" s="13">
        <f>IFERROR(tbl_GoodsReceipt[[#This Row],[Received Variance]]/tbl_GoodsReceipt[[#This Row],[Order Qty]],0)</f>
        <v>0</v>
      </c>
      <c r="Z8" s="13" t="str">
        <f>IF(tbl_GoodsReceipt[[#This Row],[GR Date]]&lt;=tbl_GoodsReceipt[[#This Row],[Expected Delivery Date]],"On-time","Late")</f>
        <v>Late</v>
      </c>
      <c r="AA8" s="6"/>
      <c r="AB8" s="17" t="str">
        <f>tbl_GoodsReceipt[[#This Row],[GR Number]]&amp;"-"&amp;tbl_GoodsReceipt[[#This Row],[GR Line]]</f>
        <v>GR-2026-0002-30</v>
      </c>
    </row>
    <row r="9" spans="1:28" x14ac:dyDescent="0.25">
      <c r="A9" s="6" t="s">
        <v>144</v>
      </c>
      <c r="B9" s="7">
        <v>10</v>
      </c>
      <c r="C9" s="8">
        <v>46249</v>
      </c>
      <c r="D9" s="6" t="s">
        <v>302</v>
      </c>
      <c r="E9" s="7">
        <v>10</v>
      </c>
      <c r="F9" s="36" t="str">
        <f>tbl_GoodsReceipt[[#This Row],[PO Number]]&amp;"-"&amp;tbl_GoodsReceipt[[#This Row],[PO Line]]</f>
        <v>PO-2026-0006-10</v>
      </c>
      <c r="G9" s="35" t="str">
        <f>_xlfn.XLOOKUP(tbl_GoodsReceipt[[#This Row],[PO Line Key (Helper)]],tbl_PurchaseOrder[PO Line Key (Helper)],tbl_PurchaseOrder[Supplier Code])</f>
        <v>SUP-0004</v>
      </c>
      <c r="H9" s="35" t="str">
        <f>_xlfn.XLOOKUP(tbl_GoodsReceipt[[#This Row],[Supplier Code]],tbl_MasterSupplier[Supplier Code],tbl_MasterSupplier[Supplier Name])</f>
        <v>PT Industrial Lubricants Indonesia</v>
      </c>
      <c r="I9" s="9" t="str">
        <f>_xlfn.XLOOKUP(tbl_GoodsReceipt[[#This Row],[PO Line Key (Helper)]],tbl_PurchaseOrder[PO Line Key (Helper)],tbl_PurchaseOrder[Material Code])</f>
        <v>MAT-00009</v>
      </c>
      <c r="J9" s="9" t="str">
        <f>_xlfn.XLOOKUP(tbl_GoodsReceipt[[#This Row],[Material Code]],tbl_MasterMaterial[Material Code],tbl_MasterMaterial[Material Description])</f>
        <v>Grease Cartridge NLGI2 400g</v>
      </c>
      <c r="K9" s="12">
        <f>_xlfn.XLOOKUP(tbl_GoodsReceipt[[#This Row],[PO Line Key (Helper)]],tbl_PurchaseOrder[PO Line Key (Helper)],tbl_PurchaseOrder[Ordered Qty])</f>
        <v>190</v>
      </c>
      <c r="L9" s="12" t="str">
        <f>_xlfn.XLOOKUP(tbl_GoodsReceipt[[#This Row],[PO Line Key (Helper)]],tbl_PurchaseOrder[PO Line Key (Helper)],tbl_PurchaseOrder[Purchase UoM])</f>
        <v>PCS</v>
      </c>
      <c r="M9" s="18">
        <f>_xlfn.XLOOKUP(tbl_GoodsReceipt[[#This Row],[PO Line Key (Helper)]],tbl_PurchaseOrder[PO Line Key (Helper)],tbl_PurchaseOrder[Unit Price])</f>
        <v>92000</v>
      </c>
      <c r="N9" s="20">
        <f>_xlfn.XLOOKUP(tbl_GoodsReceipt[[#This Row],[PO Line Key (Helper)]],tbl_PurchaseOrder[PO Line Key (Helper)],tbl_PurchaseOrder[Expected Delivery Date])</f>
        <v>46249</v>
      </c>
      <c r="O9" s="6" t="s">
        <v>334</v>
      </c>
      <c r="P9" s="6" t="s">
        <v>359</v>
      </c>
      <c r="Q9" s="6" t="s">
        <v>317</v>
      </c>
      <c r="R9" s="11">
        <v>190</v>
      </c>
      <c r="S9" s="11">
        <v>190</v>
      </c>
      <c r="T9" s="19">
        <f>tbl_GoodsReceipt[[#This Row],[Received Qty]]-tbl_GoodsReceipt[[#This Row],[Accepted Qty]]</f>
        <v>0</v>
      </c>
      <c r="U9" s="16" t="str">
        <f>IF(tbl_GoodsReceipt[[#This Row],[Accepted Qty]]=0,"Fully Rejected", IF(tbl_GoodsReceipt[[#This Row],[Rejected Qty]]=0,"Fully Accepted","Partialy Accepted"))</f>
        <v>Fully Accepted</v>
      </c>
      <c r="V9" s="6" t="s">
        <v>141</v>
      </c>
      <c r="W9" s="6" t="s">
        <v>335</v>
      </c>
      <c r="X9" s="105">
        <f>tbl_GoodsReceipt[[#This Row],[Received Qty]]-tbl_GoodsReceipt[[#This Row],[Order Qty]]</f>
        <v>0</v>
      </c>
      <c r="Y9" s="13">
        <f>IFERROR(tbl_GoodsReceipt[[#This Row],[Received Variance]]/tbl_GoodsReceipt[[#This Row],[Order Qty]],0)</f>
        <v>0</v>
      </c>
      <c r="Z9" s="13" t="str">
        <f>IF(tbl_GoodsReceipt[[#This Row],[GR Date]]&lt;=tbl_GoodsReceipt[[#This Row],[Expected Delivery Date]],"On-time","Late")</f>
        <v>On-time</v>
      </c>
      <c r="AA9" s="6"/>
      <c r="AB9" s="17" t="str">
        <f>tbl_GoodsReceipt[[#This Row],[GR Number]]&amp;"-"&amp;tbl_GoodsReceipt[[#This Row],[GR Line]]</f>
        <v>GR-2026-0003-10</v>
      </c>
    </row>
    <row r="10" spans="1:28" x14ac:dyDescent="0.25">
      <c r="A10" s="6" t="s">
        <v>144</v>
      </c>
      <c r="B10" s="7">
        <v>20</v>
      </c>
      <c r="C10" s="8">
        <v>46249</v>
      </c>
      <c r="D10" s="6" t="s">
        <v>302</v>
      </c>
      <c r="E10" s="7">
        <v>20</v>
      </c>
      <c r="F10" s="36" t="str">
        <f>tbl_GoodsReceipt[[#This Row],[PO Number]]&amp;"-"&amp;tbl_GoodsReceipt[[#This Row],[PO Line]]</f>
        <v>PO-2026-0006-20</v>
      </c>
      <c r="G10" s="35" t="str">
        <f>_xlfn.XLOOKUP(tbl_GoodsReceipt[[#This Row],[PO Line Key (Helper)]],tbl_PurchaseOrder[PO Line Key (Helper)],tbl_PurchaseOrder[Supplier Code])</f>
        <v>SUP-0004</v>
      </c>
      <c r="H10" s="35" t="str">
        <f>_xlfn.XLOOKUP(tbl_GoodsReceipt[[#This Row],[Supplier Code]],tbl_MasterSupplier[Supplier Code],tbl_MasterSupplier[Supplier Name])</f>
        <v>PT Industrial Lubricants Indonesia</v>
      </c>
      <c r="I10" s="9" t="str">
        <f>_xlfn.XLOOKUP(tbl_GoodsReceipt[[#This Row],[PO Line Key (Helper)]],tbl_PurchaseOrder[PO Line Key (Helper)],tbl_PurchaseOrder[Material Code])</f>
        <v>MAT-00013</v>
      </c>
      <c r="J10" s="9" t="str">
        <f>_xlfn.XLOOKUP(tbl_GoodsReceipt[[#This Row],[Material Code]],tbl_MasterMaterial[Material Code],tbl_MasterMaterial[Material Description])</f>
        <v>Radiator Coolant 20L</v>
      </c>
      <c r="K10" s="12">
        <f>_xlfn.XLOOKUP(tbl_GoodsReceipt[[#This Row],[PO Line Key (Helper)]],tbl_PurchaseOrder[PO Line Key (Helper)],tbl_PurchaseOrder[Ordered Qty])</f>
        <v>120</v>
      </c>
      <c r="L10" s="12" t="str">
        <f>_xlfn.XLOOKUP(tbl_GoodsReceipt[[#This Row],[PO Line Key (Helper)]],tbl_PurchaseOrder[PO Line Key (Helper)],tbl_PurchaseOrder[Purchase UoM])</f>
        <v>LTR</v>
      </c>
      <c r="M10" s="18">
        <f>_xlfn.XLOOKUP(tbl_GoodsReceipt[[#This Row],[PO Line Key (Helper)]],tbl_PurchaseOrder[PO Line Key (Helper)],tbl_PurchaseOrder[Unit Price])</f>
        <v>770000</v>
      </c>
      <c r="N10" s="20">
        <f>_xlfn.XLOOKUP(tbl_GoodsReceipt[[#This Row],[PO Line Key (Helper)]],tbl_PurchaseOrder[PO Line Key (Helper)],tbl_PurchaseOrder[Expected Delivery Date])</f>
        <v>46249</v>
      </c>
      <c r="O10" s="6" t="s">
        <v>334</v>
      </c>
      <c r="P10" s="6" t="s">
        <v>359</v>
      </c>
      <c r="Q10" s="6" t="s">
        <v>317</v>
      </c>
      <c r="R10" s="11">
        <v>120</v>
      </c>
      <c r="S10" s="11">
        <v>120</v>
      </c>
      <c r="T10" s="19">
        <f>tbl_GoodsReceipt[[#This Row],[Received Qty]]-tbl_GoodsReceipt[[#This Row],[Accepted Qty]]</f>
        <v>0</v>
      </c>
      <c r="U10" s="16" t="str">
        <f>IF(tbl_GoodsReceipt[[#This Row],[Accepted Qty]]=0,"Fully Rejected", IF(tbl_GoodsReceipt[[#This Row],[Rejected Qty]]=0,"Fully Accepted","Partialy Accepted"))</f>
        <v>Fully Accepted</v>
      </c>
      <c r="V10" s="6" t="s">
        <v>141</v>
      </c>
      <c r="W10" s="6" t="s">
        <v>335</v>
      </c>
      <c r="X10" s="105">
        <f>tbl_GoodsReceipt[[#This Row],[Received Qty]]-tbl_GoodsReceipt[[#This Row],[Order Qty]]</f>
        <v>0</v>
      </c>
      <c r="Y10" s="13">
        <f>IFERROR(tbl_GoodsReceipt[[#This Row],[Received Variance]]/tbl_GoodsReceipt[[#This Row],[Order Qty]],0)</f>
        <v>0</v>
      </c>
      <c r="Z10" s="13" t="str">
        <f>IF(tbl_GoodsReceipt[[#This Row],[GR Date]]&lt;=tbl_GoodsReceipt[[#This Row],[Expected Delivery Date]],"On-time","Late")</f>
        <v>On-time</v>
      </c>
      <c r="AA10" s="6"/>
      <c r="AB10" s="17" t="str">
        <f>tbl_GoodsReceipt[[#This Row],[GR Number]]&amp;"-"&amp;tbl_GoodsReceipt[[#This Row],[GR Line]]</f>
        <v>GR-2026-0003-20</v>
      </c>
    </row>
    <row r="11" spans="1:28" x14ac:dyDescent="0.25">
      <c r="A11" s="6" t="s">
        <v>145</v>
      </c>
      <c r="B11" s="7">
        <v>10</v>
      </c>
      <c r="C11" s="8">
        <v>46251</v>
      </c>
      <c r="D11" s="6" t="s">
        <v>131</v>
      </c>
      <c r="E11" s="7">
        <v>10</v>
      </c>
      <c r="F11" s="36" t="str">
        <f>tbl_GoodsReceipt[[#This Row],[PO Number]]&amp;"-"&amp;tbl_GoodsReceipt[[#This Row],[PO Line]]</f>
        <v>PO-2026-0005-10</v>
      </c>
      <c r="G11" s="35" t="str">
        <f>_xlfn.XLOOKUP(tbl_GoodsReceipt[[#This Row],[PO Line Key (Helper)]],tbl_PurchaseOrder[PO Line Key (Helper)],tbl_PurchaseOrder[Supplier Code])</f>
        <v>SUP-0002</v>
      </c>
      <c r="H11" s="35" t="str">
        <f>_xlfn.XLOOKUP(tbl_GoodsReceipt[[#This Row],[Supplier Code]],tbl_MasterSupplier[Supplier Code],tbl_MasterSupplier[Supplier Name])</f>
        <v>PT Precision Fastener Indonesia</v>
      </c>
      <c r="I11" s="9" t="str">
        <f>_xlfn.XLOOKUP(tbl_GoodsReceipt[[#This Row],[PO Line Key (Helper)]],tbl_PurchaseOrder[PO Line Key (Helper)],tbl_PurchaseOrder[Material Code])</f>
        <v>MAT-00014</v>
      </c>
      <c r="J11" s="9" t="str">
        <f>_xlfn.XLOOKUP(tbl_GoodsReceipt[[#This Row],[Material Code]],tbl_MasterMaterial[Material Code],tbl_MasterMaterial[Material Description])</f>
        <v>Flat Washer M12 Zinc Plated</v>
      </c>
      <c r="K11" s="12">
        <f>_xlfn.XLOOKUP(tbl_GoodsReceipt[[#This Row],[PO Line Key (Helper)]],tbl_PurchaseOrder[PO Line Key (Helper)],tbl_PurchaseOrder[Ordered Qty])</f>
        <v>5000</v>
      </c>
      <c r="L11" s="12" t="str">
        <f>_xlfn.XLOOKUP(tbl_GoodsReceipt[[#This Row],[PO Line Key (Helper)]],tbl_PurchaseOrder[PO Line Key (Helper)],tbl_PurchaseOrder[Purchase UoM])</f>
        <v>PCS</v>
      </c>
      <c r="M11" s="18">
        <f>_xlfn.XLOOKUP(tbl_GoodsReceipt[[#This Row],[PO Line Key (Helper)]],tbl_PurchaseOrder[PO Line Key (Helper)],tbl_PurchaseOrder[Unit Price])</f>
        <v>1950</v>
      </c>
      <c r="N11" s="20">
        <f>_xlfn.XLOOKUP(tbl_GoodsReceipt[[#This Row],[PO Line Key (Helper)]],tbl_PurchaseOrder[PO Line Key (Helper)],tbl_PurchaseOrder[Expected Delivery Date])</f>
        <v>46253</v>
      </c>
      <c r="O11" s="6" t="s">
        <v>332</v>
      </c>
      <c r="P11" s="6" t="s">
        <v>362</v>
      </c>
      <c r="Q11" s="6" t="s">
        <v>435</v>
      </c>
      <c r="R11" s="11">
        <v>5000</v>
      </c>
      <c r="S11" s="11">
        <v>5000</v>
      </c>
      <c r="T11" s="19">
        <f>tbl_GoodsReceipt[[#This Row],[Received Qty]]-tbl_GoodsReceipt[[#This Row],[Accepted Qty]]</f>
        <v>0</v>
      </c>
      <c r="U11" s="16" t="str">
        <f>IF(tbl_GoodsReceipt[[#This Row],[Accepted Qty]]=0,"Fully Rejected", IF(tbl_GoodsReceipt[[#This Row],[Rejected Qty]]=0,"Fully Accepted","Partialy Accepted"))</f>
        <v>Fully Accepted</v>
      </c>
      <c r="V11" s="6" t="s">
        <v>141</v>
      </c>
      <c r="W11" s="6" t="s">
        <v>333</v>
      </c>
      <c r="X11" s="105">
        <f>tbl_GoodsReceipt[[#This Row],[Received Qty]]-tbl_GoodsReceipt[[#This Row],[Order Qty]]</f>
        <v>0</v>
      </c>
      <c r="Y11" s="13">
        <f>IFERROR(tbl_GoodsReceipt[[#This Row],[Received Variance]]/tbl_GoodsReceipt[[#This Row],[Order Qty]],0)</f>
        <v>0</v>
      </c>
      <c r="Z11" s="13" t="str">
        <f>IF(tbl_GoodsReceipt[[#This Row],[GR Date]]&lt;=tbl_GoodsReceipt[[#This Row],[Expected Delivery Date]],"On-time","Late")</f>
        <v>On-time</v>
      </c>
      <c r="AA11" s="6"/>
      <c r="AB11" s="17" t="str">
        <f>tbl_GoodsReceipt[[#This Row],[GR Number]]&amp;"-"&amp;tbl_GoodsReceipt[[#This Row],[GR Line]]</f>
        <v>GR-2026-0004-10</v>
      </c>
    </row>
    <row r="12" spans="1:28" x14ac:dyDescent="0.25">
      <c r="A12" s="6" t="s">
        <v>321</v>
      </c>
      <c r="B12" s="7">
        <v>10</v>
      </c>
      <c r="C12" s="8">
        <v>46251</v>
      </c>
      <c r="D12" s="6" t="s">
        <v>303</v>
      </c>
      <c r="E12" s="7">
        <v>10</v>
      </c>
      <c r="F12" s="36" t="str">
        <f>tbl_GoodsReceipt[[#This Row],[PO Number]]&amp;"-"&amp;tbl_GoodsReceipt[[#This Row],[PO Line]]</f>
        <v>PO-2026-0007-10</v>
      </c>
      <c r="G12" s="35" t="str">
        <f>_xlfn.XLOOKUP(tbl_GoodsReceipt[[#This Row],[PO Line Key (Helper)]],tbl_PurchaseOrder[PO Line Key (Helper)],tbl_PurchaseOrder[Supplier Code])</f>
        <v>SUP-0008</v>
      </c>
      <c r="H12" s="35" t="str">
        <f>_xlfn.XLOOKUP(tbl_GoodsReceipt[[#This Row],[Supplier Code]],tbl_MasterSupplier[Supplier Code],tbl_MasterSupplier[Supplier Name])</f>
        <v>PT Industrial Consumables Indonesia</v>
      </c>
      <c r="I12" s="9" t="str">
        <f>_xlfn.XLOOKUP(tbl_GoodsReceipt[[#This Row],[PO Line Key (Helper)]],tbl_PurchaseOrder[PO Line Key (Helper)],tbl_PurchaseOrder[Material Code])</f>
        <v>MAT-00005</v>
      </c>
      <c r="J12" s="9" t="str">
        <f>_xlfn.XLOOKUP(tbl_GoodsReceipt[[#This Row],[Material Code]],tbl_MasterMaterial[Material Code],tbl_MasterMaterial[Material Description])</f>
        <v>Industrial Degreaser 20L</v>
      </c>
      <c r="K12" s="12">
        <f>_xlfn.XLOOKUP(tbl_GoodsReceipt[[#This Row],[PO Line Key (Helper)]],tbl_PurchaseOrder[PO Line Key (Helper)],tbl_PurchaseOrder[Ordered Qty])</f>
        <v>70</v>
      </c>
      <c r="L12" s="12" t="str">
        <f>_xlfn.XLOOKUP(tbl_GoodsReceipt[[#This Row],[PO Line Key (Helper)]],tbl_PurchaseOrder[PO Line Key (Helper)],tbl_PurchaseOrder[Purchase UoM])</f>
        <v>LTR</v>
      </c>
      <c r="M12" s="18">
        <f>_xlfn.XLOOKUP(tbl_GoodsReceipt[[#This Row],[PO Line Key (Helper)]],tbl_PurchaseOrder[PO Line Key (Helper)],tbl_PurchaseOrder[Unit Price])</f>
        <v>940000</v>
      </c>
      <c r="N12" s="20">
        <f>_xlfn.XLOOKUP(tbl_GoodsReceipt[[#This Row],[PO Line Key (Helper)]],tbl_PurchaseOrder[PO Line Key (Helper)],tbl_PurchaseOrder[Expected Delivery Date])</f>
        <v>46251</v>
      </c>
      <c r="O12" s="6" t="s">
        <v>332</v>
      </c>
      <c r="P12" s="6" t="s">
        <v>362</v>
      </c>
      <c r="Q12" s="6" t="s">
        <v>318</v>
      </c>
      <c r="R12" s="11">
        <v>70</v>
      </c>
      <c r="S12" s="11">
        <v>68</v>
      </c>
      <c r="T12" s="19">
        <f>tbl_GoodsReceipt[[#This Row],[Received Qty]]-tbl_GoodsReceipt[[#This Row],[Accepted Qty]]</f>
        <v>2</v>
      </c>
      <c r="U12" s="16" t="str">
        <f>IF(tbl_GoodsReceipt[[#This Row],[Accepted Qty]]=0,"Fully Rejected", IF(tbl_GoodsReceipt[[#This Row],[Rejected Qty]]=0,"Fully Accepted","Partialy Accepted"))</f>
        <v>Partialy Accepted</v>
      </c>
      <c r="V12" s="6" t="s">
        <v>142</v>
      </c>
      <c r="W12" s="6" t="s">
        <v>337</v>
      </c>
      <c r="X12" s="105">
        <f>tbl_GoodsReceipt[[#This Row],[Received Qty]]-tbl_GoodsReceipt[[#This Row],[Order Qty]]</f>
        <v>0</v>
      </c>
      <c r="Y12" s="13">
        <f>IFERROR(tbl_GoodsReceipt[[#This Row],[Received Variance]]/tbl_GoodsReceipt[[#This Row],[Order Qty]],0)</f>
        <v>0</v>
      </c>
      <c r="Z12" s="13" t="str">
        <f>IF(tbl_GoodsReceipt[[#This Row],[GR Date]]&lt;=tbl_GoodsReceipt[[#This Row],[Expected Delivery Date]],"On-time","Late")</f>
        <v>On-time</v>
      </c>
      <c r="AA12" s="6" t="s">
        <v>338</v>
      </c>
      <c r="AB12" s="17" t="str">
        <f>tbl_GoodsReceipt[[#This Row],[GR Number]]&amp;"-"&amp;tbl_GoodsReceipt[[#This Row],[GR Line]]</f>
        <v>GR-2026-0005-10</v>
      </c>
    </row>
    <row r="13" spans="1:28" x14ac:dyDescent="0.25">
      <c r="A13" s="6" t="s">
        <v>323</v>
      </c>
      <c r="B13" s="7">
        <v>20</v>
      </c>
      <c r="C13" s="8">
        <v>46253</v>
      </c>
      <c r="D13" s="6" t="s">
        <v>303</v>
      </c>
      <c r="E13" s="7">
        <v>20</v>
      </c>
      <c r="F13" s="36" t="str">
        <f>tbl_GoodsReceipt[[#This Row],[PO Number]]&amp;"-"&amp;tbl_GoodsReceipt[[#This Row],[PO Line]]</f>
        <v>PO-2026-0007-20</v>
      </c>
      <c r="G13" s="35" t="str">
        <f>_xlfn.XLOOKUP(tbl_GoodsReceipt[[#This Row],[PO Line Key (Helper)]],tbl_PurchaseOrder[PO Line Key (Helper)],tbl_PurchaseOrder[Supplier Code])</f>
        <v>SUP-0008</v>
      </c>
      <c r="H13" s="35" t="str">
        <f>_xlfn.XLOOKUP(tbl_GoodsReceipt[[#This Row],[Supplier Code]],tbl_MasterSupplier[Supplier Code],tbl_MasterSupplier[Supplier Name])</f>
        <v>PT Industrial Consumables Indonesia</v>
      </c>
      <c r="I13" s="9" t="str">
        <f>_xlfn.XLOOKUP(tbl_GoodsReceipt[[#This Row],[PO Line Key (Helper)]],tbl_PurchaseOrder[PO Line Key (Helper)],tbl_PurchaseOrder[Material Code])</f>
        <v>MAT-00018</v>
      </c>
      <c r="J13" s="9" t="str">
        <f>_xlfn.XLOOKUP(tbl_GoodsReceipt[[#This Row],[Material Code]],tbl_MasterMaterial[Material Code],tbl_MasterMaterial[Material Description])</f>
        <v>Cabin Air Filter</v>
      </c>
      <c r="K13" s="12">
        <f>_xlfn.XLOOKUP(tbl_GoodsReceipt[[#This Row],[PO Line Key (Helper)]],tbl_PurchaseOrder[PO Line Key (Helper)],tbl_PurchaseOrder[Ordered Qty])</f>
        <v>90</v>
      </c>
      <c r="L13" s="12" t="str">
        <f>_xlfn.XLOOKUP(tbl_GoodsReceipt[[#This Row],[PO Line Key (Helper)]],tbl_PurchaseOrder[PO Line Key (Helper)],tbl_PurchaseOrder[Purchase UoM])</f>
        <v>PCS</v>
      </c>
      <c r="M13" s="18">
        <f>_xlfn.XLOOKUP(tbl_GoodsReceipt[[#This Row],[PO Line Key (Helper)]],tbl_PurchaseOrder[PO Line Key (Helper)],tbl_PurchaseOrder[Unit Price])</f>
        <v>315000</v>
      </c>
      <c r="N13" s="20">
        <f>_xlfn.XLOOKUP(tbl_GoodsReceipt[[#This Row],[PO Line Key (Helper)]],tbl_PurchaseOrder[PO Line Key (Helper)],tbl_PurchaseOrder[Expected Delivery Date])</f>
        <v>46253</v>
      </c>
      <c r="O13" s="6" t="s">
        <v>319</v>
      </c>
      <c r="P13" s="6" t="s">
        <v>362</v>
      </c>
      <c r="Q13" s="6" t="s">
        <v>318</v>
      </c>
      <c r="R13" s="11">
        <v>90</v>
      </c>
      <c r="S13" s="11">
        <v>90</v>
      </c>
      <c r="T13" s="19">
        <f>tbl_GoodsReceipt[[#This Row],[Received Qty]]-tbl_GoodsReceipt[[#This Row],[Accepted Qty]]</f>
        <v>0</v>
      </c>
      <c r="U13" s="16" t="str">
        <f>IF(tbl_GoodsReceipt[[#This Row],[Accepted Qty]]=0,"Fully Rejected", IF(tbl_GoodsReceipt[[#This Row],[Rejected Qty]]=0,"Fully Accepted","Partialy Accepted"))</f>
        <v>Fully Accepted</v>
      </c>
      <c r="V13" s="6" t="s">
        <v>141</v>
      </c>
      <c r="W13" s="6" t="s">
        <v>339</v>
      </c>
      <c r="X13" s="105">
        <f>tbl_GoodsReceipt[[#This Row],[Received Qty]]-tbl_GoodsReceipt[[#This Row],[Order Qty]]</f>
        <v>0</v>
      </c>
      <c r="Y13" s="13">
        <f>IFERROR(tbl_GoodsReceipt[[#This Row],[Received Variance]]/tbl_GoodsReceipt[[#This Row],[Order Qty]],0)</f>
        <v>0</v>
      </c>
      <c r="Z13" s="13" t="str">
        <f>IF(tbl_GoodsReceipt[[#This Row],[GR Date]]&lt;=tbl_GoodsReceipt[[#This Row],[Expected Delivery Date]],"On-time","Late")</f>
        <v>On-time</v>
      </c>
      <c r="AA13" s="6"/>
      <c r="AB13" s="17" t="str">
        <f>tbl_GoodsReceipt[[#This Row],[GR Number]]&amp;"-"&amp;tbl_GoodsReceipt[[#This Row],[GR Line]]</f>
        <v>GR-2026-0006-20</v>
      </c>
    </row>
    <row r="14" spans="1:28" x14ac:dyDescent="0.25">
      <c r="A14" s="6" t="s">
        <v>336</v>
      </c>
      <c r="B14" s="7">
        <v>10</v>
      </c>
      <c r="C14" s="8">
        <v>46259</v>
      </c>
      <c r="D14" s="6" t="s">
        <v>306</v>
      </c>
      <c r="E14" s="7">
        <v>10</v>
      </c>
      <c r="F14" s="36" t="str">
        <f>tbl_GoodsReceipt[[#This Row],[PO Number]]&amp;"-"&amp;tbl_GoodsReceipt[[#This Row],[PO Line]]</f>
        <v>PO-2026-0010-10</v>
      </c>
      <c r="G14" s="35" t="str">
        <f>_xlfn.XLOOKUP(tbl_GoodsReceipt[[#This Row],[PO Line Key (Helper)]],tbl_PurchaseOrder[PO Line Key (Helper)],tbl_PurchaseOrder[Supplier Code])</f>
        <v>SUP-0010</v>
      </c>
      <c r="H14" s="35" t="str">
        <f>_xlfn.XLOOKUP(tbl_GoodsReceipt[[#This Row],[Supplier Code]],tbl_MasterSupplier[Supplier Code],tbl_MasterSupplier[Supplier Name])</f>
        <v>PT Metal Processing Supply</v>
      </c>
      <c r="I14" s="9" t="str">
        <f>_xlfn.XLOOKUP(tbl_GoodsReceipt[[#This Row],[PO Line Key (Helper)]],tbl_PurchaseOrder[PO Line Key (Helper)],tbl_PurchaseOrder[Material Code])</f>
        <v>MAT-00010</v>
      </c>
      <c r="J14" s="9" t="str">
        <f>_xlfn.XLOOKUP(tbl_GoodsReceipt[[#This Row],[Material Code]],tbl_MasterMaterial[Material Code],tbl_MasterMaterial[Material Description])</f>
        <v>Welding Electrode E7018 3.2mm</v>
      </c>
      <c r="K14" s="12">
        <f>_xlfn.XLOOKUP(tbl_GoodsReceipt[[#This Row],[PO Line Key (Helper)]],tbl_PurchaseOrder[PO Line Key (Helper)],tbl_PurchaseOrder[Ordered Qty])</f>
        <v>290</v>
      </c>
      <c r="L14" s="12" t="str">
        <f>_xlfn.XLOOKUP(tbl_GoodsReceipt[[#This Row],[PO Line Key (Helper)]],tbl_PurchaseOrder[PO Line Key (Helper)],tbl_PurchaseOrder[Purchase UoM])</f>
        <v>KG</v>
      </c>
      <c r="M14" s="18">
        <f>_xlfn.XLOOKUP(tbl_GoodsReceipt[[#This Row],[PO Line Key (Helper)]],tbl_PurchaseOrder[PO Line Key (Helper)],tbl_PurchaseOrder[Unit Price])</f>
        <v>375000</v>
      </c>
      <c r="N14" s="20">
        <f>_xlfn.XLOOKUP(tbl_GoodsReceipt[[#This Row],[PO Line Key (Helper)]],tbl_PurchaseOrder[PO Line Key (Helper)],tbl_PurchaseOrder[Expected Delivery Date])</f>
        <v>46259</v>
      </c>
      <c r="O14" s="6" t="s">
        <v>324</v>
      </c>
      <c r="P14" s="34" t="s">
        <v>359</v>
      </c>
      <c r="Q14" s="6" t="s">
        <v>435</v>
      </c>
      <c r="R14" s="11">
        <v>290</v>
      </c>
      <c r="S14" s="11">
        <v>290</v>
      </c>
      <c r="T14" s="19">
        <f>tbl_GoodsReceipt[[#This Row],[Received Qty]]-tbl_GoodsReceipt[[#This Row],[Accepted Qty]]</f>
        <v>0</v>
      </c>
      <c r="U14" s="16" t="str">
        <f>IF(tbl_GoodsReceipt[[#This Row],[Accepted Qty]]=0,"Fully Rejected", IF(tbl_GoodsReceipt[[#This Row],[Rejected Qty]]=0,"Fully Accepted","Partialy Accepted"))</f>
        <v>Fully Accepted</v>
      </c>
      <c r="V14" s="6" t="s">
        <v>141</v>
      </c>
      <c r="W14" s="6" t="s">
        <v>344</v>
      </c>
      <c r="X14" s="105">
        <f>tbl_GoodsReceipt[[#This Row],[Received Qty]]-tbl_GoodsReceipt[[#This Row],[Order Qty]]</f>
        <v>0</v>
      </c>
      <c r="Y14" s="13">
        <f>IFERROR(tbl_GoodsReceipt[[#This Row],[Received Variance]]/tbl_GoodsReceipt[[#This Row],[Order Qty]],0)</f>
        <v>0</v>
      </c>
      <c r="Z14" s="13" t="str">
        <f>IF(tbl_GoodsReceipt[[#This Row],[GR Date]]&lt;=tbl_GoodsReceipt[[#This Row],[Expected Delivery Date]],"On-time","Late")</f>
        <v>On-time</v>
      </c>
      <c r="AA14" s="6"/>
      <c r="AB14" s="17" t="str">
        <f>tbl_GoodsReceipt[[#This Row],[GR Number]]&amp;"-"&amp;tbl_GoodsReceipt[[#This Row],[GR Line]]</f>
        <v>GR-2026-0007-10</v>
      </c>
    </row>
    <row r="15" spans="1:28" x14ac:dyDescent="0.25">
      <c r="A15" s="6" t="s">
        <v>340</v>
      </c>
      <c r="B15" s="7">
        <v>10</v>
      </c>
      <c r="C15" s="8">
        <v>46260</v>
      </c>
      <c r="D15" s="6" t="s">
        <v>130</v>
      </c>
      <c r="E15" s="7">
        <v>10</v>
      </c>
      <c r="F15" s="36" t="str">
        <f>tbl_GoodsReceipt[[#This Row],[PO Number]]&amp;"-"&amp;tbl_GoodsReceipt[[#This Row],[PO Line]]</f>
        <v>PO-2026-0004-10</v>
      </c>
      <c r="G15" s="35" t="str">
        <f>_xlfn.XLOOKUP(tbl_GoodsReceipt[[#This Row],[PO Line Key (Helper)]],tbl_PurchaseOrder[PO Line Key (Helper)],tbl_PurchaseOrder[Supplier Code])</f>
        <v>SUP-0009</v>
      </c>
      <c r="H15" s="35" t="str">
        <f>_xlfn.XLOOKUP(tbl_GoodsReceipt[[#This Row],[Supplier Code]],tbl_MasterSupplier[Supplier Code],tbl_MasterSupplier[Supplier Name])</f>
        <v>PT Multi Industrial Trading</v>
      </c>
      <c r="I15" s="9" t="str">
        <f>_xlfn.XLOOKUP(tbl_GoodsReceipt[[#This Row],[PO Line Key (Helper)]],tbl_PurchaseOrder[PO Line Key (Helper)],tbl_PurchaseOrder[Material Code])</f>
        <v>MAT-00002</v>
      </c>
      <c r="J15" s="9" t="str">
        <f>_xlfn.XLOOKUP(tbl_GoodsReceipt[[#This Row],[Material Code]],tbl_MasterMaterial[Material Code],tbl_MasterMaterial[Material Description])</f>
        <v>Steel Plate 10mm x 2m x 1m</v>
      </c>
      <c r="K15" s="12">
        <f>_xlfn.XLOOKUP(tbl_GoodsReceipt[[#This Row],[PO Line Key (Helper)]],tbl_PurchaseOrder[PO Line Key (Helper)],tbl_PurchaseOrder[Ordered Qty])</f>
        <v>60</v>
      </c>
      <c r="L15" s="12" t="str">
        <f>_xlfn.XLOOKUP(tbl_GoodsReceipt[[#This Row],[PO Line Key (Helper)]],tbl_PurchaseOrder[PO Line Key (Helper)],tbl_PurchaseOrder[Purchase UoM])</f>
        <v>PCS</v>
      </c>
      <c r="M15" s="18">
        <f>_xlfn.XLOOKUP(tbl_GoodsReceipt[[#This Row],[PO Line Key (Helper)]],tbl_PurchaseOrder[PO Line Key (Helper)],tbl_PurchaseOrder[Unit Price])</f>
        <v>4150000</v>
      </c>
      <c r="N15" s="20">
        <f>_xlfn.XLOOKUP(tbl_GoodsReceipt[[#This Row],[PO Line Key (Helper)]],tbl_PurchaseOrder[PO Line Key (Helper)],tbl_PurchaseOrder[Expected Delivery Date])</f>
        <v>46262</v>
      </c>
      <c r="O15" s="6" t="s">
        <v>465</v>
      </c>
      <c r="P15" s="6" t="s">
        <v>359</v>
      </c>
      <c r="Q15" s="6" t="s">
        <v>320</v>
      </c>
      <c r="R15" s="11">
        <v>60</v>
      </c>
      <c r="S15" s="11">
        <v>60</v>
      </c>
      <c r="T15" s="19">
        <f>tbl_GoodsReceipt[[#This Row],[Received Qty]]-tbl_GoodsReceipt[[#This Row],[Accepted Qty]]</f>
        <v>0</v>
      </c>
      <c r="U15" s="16" t="str">
        <f>IF(tbl_GoodsReceipt[[#This Row],[Accepted Qty]]=0,"Fully Rejected", IF(tbl_GoodsReceipt[[#This Row],[Rejected Qty]]=0,"Fully Accepted","Partialy Accepted"))</f>
        <v>Fully Accepted</v>
      </c>
      <c r="V15" s="6" t="s">
        <v>141</v>
      </c>
      <c r="W15" s="6" t="s">
        <v>329</v>
      </c>
      <c r="X15" s="105">
        <f>tbl_GoodsReceipt[[#This Row],[Received Qty]]-tbl_GoodsReceipt[[#This Row],[Order Qty]]</f>
        <v>0</v>
      </c>
      <c r="Y15" s="13">
        <f>IFERROR(tbl_GoodsReceipt[[#This Row],[Received Variance]]/tbl_GoodsReceipt[[#This Row],[Order Qty]],0)</f>
        <v>0</v>
      </c>
      <c r="Z15" s="13" t="str">
        <f>IF(tbl_GoodsReceipt[[#This Row],[GR Date]]&lt;=tbl_GoodsReceipt[[#This Row],[Expected Delivery Date]],"On-time","Late")</f>
        <v>On-time</v>
      </c>
      <c r="AA15" s="6" t="s">
        <v>330</v>
      </c>
      <c r="AB15" s="17" t="str">
        <f>tbl_GoodsReceipt[[#This Row],[GR Number]]&amp;"-"&amp;tbl_GoodsReceipt[[#This Row],[GR Line]]</f>
        <v>GR-2026-0008-10</v>
      </c>
    </row>
    <row r="16" spans="1:28" x14ac:dyDescent="0.25">
      <c r="A16" s="6" t="s">
        <v>340</v>
      </c>
      <c r="B16" s="7">
        <v>20</v>
      </c>
      <c r="C16" s="8">
        <v>46260</v>
      </c>
      <c r="D16" s="6" t="s">
        <v>130</v>
      </c>
      <c r="E16" s="7">
        <v>20</v>
      </c>
      <c r="F16" s="36" t="str">
        <f>tbl_GoodsReceipt[[#This Row],[PO Number]]&amp;"-"&amp;tbl_GoodsReceipt[[#This Row],[PO Line]]</f>
        <v>PO-2026-0004-20</v>
      </c>
      <c r="G16" s="35" t="str">
        <f>_xlfn.XLOOKUP(tbl_GoodsReceipt[[#This Row],[PO Line Key (Helper)]],tbl_PurchaseOrder[PO Line Key (Helper)],tbl_PurchaseOrder[Supplier Code])</f>
        <v>SUP-0009</v>
      </c>
      <c r="H16" s="35" t="str">
        <f>_xlfn.XLOOKUP(tbl_GoodsReceipt[[#This Row],[Supplier Code]],tbl_MasterSupplier[Supplier Code],tbl_MasterSupplier[Supplier Name])</f>
        <v>PT Multi Industrial Trading</v>
      </c>
      <c r="I16" s="9" t="str">
        <f>_xlfn.XLOOKUP(tbl_GoodsReceipt[[#This Row],[PO Line Key (Helper)]],tbl_PurchaseOrder[PO Line Key (Helper)],tbl_PurchaseOrder[Material Code])</f>
        <v>MAT-00004</v>
      </c>
      <c r="J16" s="9" t="str">
        <f>_xlfn.XLOOKUP(tbl_GoodsReceipt[[#This Row],[Material Code]],tbl_MasterMaterial[Material Code],tbl_MasterMaterial[Material Description])</f>
        <v>Hex Bolt M12x50 Grade 8.8</v>
      </c>
      <c r="K16" s="12">
        <f>_xlfn.XLOOKUP(tbl_GoodsReceipt[[#This Row],[PO Line Key (Helper)]],tbl_PurchaseOrder[PO Line Key (Helper)],tbl_PurchaseOrder[Ordered Qty])</f>
        <v>2500</v>
      </c>
      <c r="L16" s="12" t="str">
        <f>_xlfn.XLOOKUP(tbl_GoodsReceipt[[#This Row],[PO Line Key (Helper)]],tbl_PurchaseOrder[PO Line Key (Helper)],tbl_PurchaseOrder[Purchase UoM])</f>
        <v>PCS</v>
      </c>
      <c r="M16" s="18">
        <f>_xlfn.XLOOKUP(tbl_GoodsReceipt[[#This Row],[PO Line Key (Helper)]],tbl_PurchaseOrder[PO Line Key (Helper)],tbl_PurchaseOrder[Unit Price])</f>
        <v>7900</v>
      </c>
      <c r="N16" s="20">
        <f>_xlfn.XLOOKUP(tbl_GoodsReceipt[[#This Row],[PO Line Key (Helper)]],tbl_PurchaseOrder[PO Line Key (Helper)],tbl_PurchaseOrder[Expected Delivery Date])</f>
        <v>46251</v>
      </c>
      <c r="O16" s="6" t="s">
        <v>465</v>
      </c>
      <c r="P16" s="6" t="s">
        <v>359</v>
      </c>
      <c r="Q16" s="6" t="s">
        <v>320</v>
      </c>
      <c r="R16" s="11">
        <v>2500</v>
      </c>
      <c r="S16" s="11">
        <v>2500</v>
      </c>
      <c r="T16" s="19">
        <f>tbl_GoodsReceipt[[#This Row],[Received Qty]]-tbl_GoodsReceipt[[#This Row],[Accepted Qty]]</f>
        <v>0</v>
      </c>
      <c r="U16" s="16" t="str">
        <f>IF(tbl_GoodsReceipt[[#This Row],[Accepted Qty]]=0,"Fully Rejected", IF(tbl_GoodsReceipt[[#This Row],[Rejected Qty]]=0,"Fully Accepted","Partialy Accepted"))</f>
        <v>Fully Accepted</v>
      </c>
      <c r="V16" s="6" t="s">
        <v>141</v>
      </c>
      <c r="W16" s="6" t="s">
        <v>331</v>
      </c>
      <c r="X16" s="105">
        <f>tbl_GoodsReceipt[[#This Row],[Received Qty]]-tbl_GoodsReceipt[[#This Row],[Order Qty]]</f>
        <v>0</v>
      </c>
      <c r="Y16" s="13">
        <f>IFERROR(tbl_GoodsReceipt[[#This Row],[Received Variance]]/tbl_GoodsReceipt[[#This Row],[Order Qty]],0)</f>
        <v>0</v>
      </c>
      <c r="Z16" s="13" t="str">
        <f>IF(tbl_GoodsReceipt[[#This Row],[GR Date]]&lt;=tbl_GoodsReceipt[[#This Row],[Expected Delivery Date]],"On-time","Late")</f>
        <v>Late</v>
      </c>
      <c r="AA16" s="6"/>
      <c r="AB16" s="17" t="str">
        <f>tbl_GoodsReceipt[[#This Row],[GR Number]]&amp;"-"&amp;tbl_GoodsReceipt[[#This Row],[GR Line]]</f>
        <v>GR-2026-0008-20</v>
      </c>
    </row>
    <row r="17" spans="1:28" x14ac:dyDescent="0.25">
      <c r="A17" s="6" t="s">
        <v>345</v>
      </c>
      <c r="B17" s="7">
        <v>10</v>
      </c>
      <c r="C17" s="8">
        <v>46273</v>
      </c>
      <c r="D17" s="6" t="s">
        <v>304</v>
      </c>
      <c r="E17" s="7">
        <v>10</v>
      </c>
      <c r="F17" s="36" t="str">
        <f>tbl_GoodsReceipt[[#This Row],[PO Number]]&amp;"-"&amp;tbl_GoodsReceipt[[#This Row],[PO Line]]</f>
        <v>PO-2026-0008-10</v>
      </c>
      <c r="G17" s="35" t="str">
        <f>_xlfn.XLOOKUP(tbl_GoodsReceipt[[#This Row],[PO Line Key (Helper)]],tbl_PurchaseOrder[PO Line Key (Helper)],tbl_PurchaseOrder[Supplier Code])</f>
        <v>SUP-0001</v>
      </c>
      <c r="H17" s="35" t="str">
        <f>_xlfn.XLOOKUP(tbl_GoodsReceipt[[#This Row],[Supplier Code]],tbl_MasterSupplier[Supplier Code],tbl_MasterSupplier[Supplier Name])</f>
        <v>PT Industrial Steel Supply</v>
      </c>
      <c r="I17" s="9" t="str">
        <f>_xlfn.XLOOKUP(tbl_GoodsReceipt[[#This Row],[PO Line Key (Helper)]],tbl_PurchaseOrder[PO Line Key (Helper)],tbl_PurchaseOrder[Material Code])</f>
        <v>MAT-00017</v>
      </c>
      <c r="J17" s="9" t="str">
        <f>_xlfn.XLOOKUP(tbl_GoodsReceipt[[#This Row],[Material Code]],tbl_MasterMaterial[Material Code],tbl_MasterMaterial[Material Description])</f>
        <v>Steel I-Beam 6m Length</v>
      </c>
      <c r="K17" s="12">
        <f>_xlfn.XLOOKUP(tbl_GoodsReceipt[[#This Row],[PO Line Key (Helper)]],tbl_PurchaseOrder[PO Line Key (Helper)],tbl_PurchaseOrder[Ordered Qty])</f>
        <v>50</v>
      </c>
      <c r="L17" s="12" t="str">
        <f>_xlfn.XLOOKUP(tbl_GoodsReceipt[[#This Row],[PO Line Key (Helper)]],tbl_PurchaseOrder[PO Line Key (Helper)],tbl_PurchaseOrder[Purchase UoM])</f>
        <v>PCS</v>
      </c>
      <c r="M17" s="18">
        <f>_xlfn.XLOOKUP(tbl_GoodsReceipt[[#This Row],[PO Line Key (Helper)]],tbl_PurchaseOrder[PO Line Key (Helper)],tbl_PurchaseOrder[Unit Price])</f>
        <v>5500000</v>
      </c>
      <c r="N17" s="20">
        <f>_xlfn.XLOOKUP(tbl_GoodsReceipt[[#This Row],[PO Line Key (Helper)]],tbl_PurchaseOrder[PO Line Key (Helper)],tbl_PurchaseOrder[Expected Delivery Date])</f>
        <v>46273</v>
      </c>
      <c r="O17" s="6" t="s">
        <v>341</v>
      </c>
      <c r="P17" s="34" t="s">
        <v>359</v>
      </c>
      <c r="Q17" s="6" t="s">
        <v>320</v>
      </c>
      <c r="R17" s="11">
        <v>50</v>
      </c>
      <c r="S17" s="11">
        <v>50</v>
      </c>
      <c r="T17" s="19">
        <f>tbl_GoodsReceipt[[#This Row],[Received Qty]]-tbl_GoodsReceipt[[#This Row],[Accepted Qty]]</f>
        <v>0</v>
      </c>
      <c r="U17" s="16" t="str">
        <f>IF(tbl_GoodsReceipt[[#This Row],[Accepted Qty]]=0,"Fully Rejected", IF(tbl_GoodsReceipt[[#This Row],[Rejected Qty]]=0,"Fully Accepted","Partialy Accepted"))</f>
        <v>Fully Accepted</v>
      </c>
      <c r="V17" s="6" t="s">
        <v>141</v>
      </c>
      <c r="W17" s="6" t="s">
        <v>342</v>
      </c>
      <c r="X17" s="105">
        <f>tbl_GoodsReceipt[[#This Row],[Received Qty]]-tbl_GoodsReceipt[[#This Row],[Order Qty]]</f>
        <v>0</v>
      </c>
      <c r="Y17" s="13">
        <f>IFERROR(tbl_GoodsReceipt[[#This Row],[Received Variance]]/tbl_GoodsReceipt[[#This Row],[Order Qty]],0)</f>
        <v>0</v>
      </c>
      <c r="Z17" s="13" t="str">
        <f>IF(tbl_GoodsReceipt[[#This Row],[GR Date]]&lt;=tbl_GoodsReceipt[[#This Row],[Expected Delivery Date]],"On-time","Late")</f>
        <v>On-time</v>
      </c>
      <c r="AA17" s="6"/>
      <c r="AB17" s="17" t="str">
        <f>tbl_GoodsReceipt[[#This Row],[GR Number]]&amp;"-"&amp;tbl_GoodsReceipt[[#This Row],[GR Line]]</f>
        <v>GR-2026-0009-10</v>
      </c>
    </row>
    <row r="18" spans="1:28" x14ac:dyDescent="0.25">
      <c r="A18" s="6" t="s">
        <v>343</v>
      </c>
      <c r="B18" s="7">
        <v>10</v>
      </c>
      <c r="C18" s="8">
        <v>46275</v>
      </c>
      <c r="D18" s="6" t="s">
        <v>450</v>
      </c>
      <c r="E18" s="7">
        <v>10</v>
      </c>
      <c r="F18" s="78" t="str">
        <f>tbl_GoodsReceipt[[#This Row],[PO Number]]&amp;"-"&amp;tbl_GoodsReceipt[[#This Row],[PO Line]]</f>
        <v>PO-2026-0013-10</v>
      </c>
      <c r="G18" s="79" t="str">
        <f>_xlfn.XLOOKUP(tbl_GoodsReceipt[[#This Row],[PO Line Key (Helper)]],tbl_PurchaseOrder[PO Line Key (Helper)],tbl_PurchaseOrder[Supplier Code])</f>
        <v>SUP-0006</v>
      </c>
      <c r="H18" s="79" t="str">
        <f>_xlfn.XLOOKUP(tbl_GoodsReceipt[[#This Row],[Supplier Code]],tbl_MasterSupplier[Supplier Code],tbl_MasterSupplier[Supplier Name])</f>
        <v>OEM Heavy Parts Corporation</v>
      </c>
      <c r="I18" s="75" t="str">
        <f>_xlfn.XLOOKUP(tbl_GoodsReceipt[[#This Row],[PO Line Key (Helper)]],tbl_PurchaseOrder[PO Line Key (Helper)],tbl_PurchaseOrder[Material Code])</f>
        <v>MAT-00012</v>
      </c>
      <c r="J18" s="75" t="str">
        <f>_xlfn.XLOOKUP(tbl_GoodsReceipt[[#This Row],[Material Code]],tbl_MasterMaterial[Material Code],tbl_MasterMaterial[Material Description])</f>
        <v>Bucket Teeth (CAT style)</v>
      </c>
      <c r="K18" s="12">
        <f>_xlfn.XLOOKUP(tbl_GoodsReceipt[[#This Row],[PO Line Key (Helper)]],tbl_PurchaseOrder[PO Line Key (Helper)],tbl_PurchaseOrder[Ordered Qty])</f>
        <v>60</v>
      </c>
      <c r="L18" s="80" t="str">
        <f>_xlfn.XLOOKUP(tbl_GoodsReceipt[[#This Row],[PO Line Key (Helper)]],tbl_PurchaseOrder[PO Line Key (Helper)],tbl_PurchaseOrder[Purchase UoM])</f>
        <v>PCS</v>
      </c>
      <c r="M18" s="18">
        <f>_xlfn.XLOOKUP(tbl_GoodsReceipt[[#This Row],[PO Line Key (Helper)]],tbl_PurchaseOrder[PO Line Key (Helper)],tbl_PurchaseOrder[Unit Price])</f>
        <v>735000</v>
      </c>
      <c r="N18" s="20">
        <f>_xlfn.XLOOKUP(tbl_GoodsReceipt[[#This Row],[PO Line Key (Helper)]],tbl_PurchaseOrder[PO Line Key (Helper)],tbl_PurchaseOrder[Expected Delivery Date])</f>
        <v>46275</v>
      </c>
      <c r="O18" s="6" t="s">
        <v>453</v>
      </c>
      <c r="P18" s="34" t="s">
        <v>362</v>
      </c>
      <c r="Q18" s="6" t="s">
        <v>435</v>
      </c>
      <c r="R18" s="11">
        <v>60</v>
      </c>
      <c r="S18" s="11">
        <v>60</v>
      </c>
      <c r="T18" s="19">
        <f>tbl_GoodsReceipt[[#This Row],[Received Qty]]-tbl_GoodsReceipt[[#This Row],[Accepted Qty]]</f>
        <v>0</v>
      </c>
      <c r="U18" s="16" t="str">
        <f>IF(tbl_GoodsReceipt[[#This Row],[Accepted Qty]]=0,"Fully Rejected", IF(tbl_GoodsReceipt[[#This Row],[Rejected Qty]]=0,"Fully Accepted","Partialy Accepted"))</f>
        <v>Fully Accepted</v>
      </c>
      <c r="V18" s="6" t="s">
        <v>141</v>
      </c>
      <c r="W18" s="6" t="s">
        <v>458</v>
      </c>
      <c r="X18" s="105">
        <f>tbl_GoodsReceipt[[#This Row],[Received Qty]]-tbl_GoodsReceipt[[#This Row],[Order Qty]]</f>
        <v>0</v>
      </c>
      <c r="Y18" s="13">
        <f>IFERROR(tbl_GoodsReceipt[[#This Row],[Received Variance]]/tbl_GoodsReceipt[[#This Row],[Order Qty]],0)</f>
        <v>0</v>
      </c>
      <c r="Z18" s="13" t="str">
        <f>IF(tbl_GoodsReceipt[[#This Row],[GR Date]]&lt;=tbl_GoodsReceipt[[#This Row],[Expected Delivery Date]],"On-time","Late")</f>
        <v>On-time</v>
      </c>
      <c r="AA18" s="6"/>
      <c r="AB18" s="17" t="str">
        <f>tbl_GoodsReceipt[[#This Row],[GR Number]]&amp;"-"&amp;tbl_GoodsReceipt[[#This Row],[GR Line]]</f>
        <v>GR-2026-0010-10</v>
      </c>
    </row>
    <row r="19" spans="1:28" x14ac:dyDescent="0.25">
      <c r="A19" s="6" t="s">
        <v>451</v>
      </c>
      <c r="B19" s="7">
        <v>10</v>
      </c>
      <c r="C19" s="8">
        <v>46276</v>
      </c>
      <c r="D19" s="6" t="s">
        <v>448</v>
      </c>
      <c r="E19" s="7">
        <v>10</v>
      </c>
      <c r="F19" s="78" t="str">
        <f>tbl_GoodsReceipt[[#This Row],[PO Number]]&amp;"-"&amp;tbl_GoodsReceipt[[#This Row],[PO Line]]</f>
        <v>PO-2026-0011-10</v>
      </c>
      <c r="G19" s="79" t="str">
        <f>_xlfn.XLOOKUP(tbl_GoodsReceipt[[#This Row],[PO Line Key (Helper)]],tbl_PurchaseOrder[PO Line Key (Helper)],tbl_PurchaseOrder[Supplier Code])</f>
        <v>SUP-0006</v>
      </c>
      <c r="H19" s="79" t="str">
        <f>_xlfn.XLOOKUP(tbl_GoodsReceipt[[#This Row],[Supplier Code]],tbl_MasterSupplier[Supplier Code],tbl_MasterSupplier[Supplier Name])</f>
        <v>OEM Heavy Parts Corporation</v>
      </c>
      <c r="I19" s="75" t="str">
        <f>_xlfn.XLOOKUP(tbl_GoodsReceipt[[#This Row],[PO Line Key (Helper)]],tbl_PurchaseOrder[PO Line Key (Helper)],tbl_PurchaseOrder[Material Code])</f>
        <v>MAT-00006</v>
      </c>
      <c r="J19" s="75" t="str">
        <f>_xlfn.XLOOKUP(tbl_GoodsReceipt[[#This Row],[Material Code]],tbl_MasterMaterial[Material Code],tbl_MasterMaterial[Material Description])</f>
        <v>Track Roller Assembly</v>
      </c>
      <c r="K19" s="12">
        <f>_xlfn.XLOOKUP(tbl_GoodsReceipt[[#This Row],[PO Line Key (Helper)]],tbl_PurchaseOrder[PO Line Key (Helper)],tbl_PurchaseOrder[Ordered Qty])</f>
        <v>43</v>
      </c>
      <c r="L19" s="80" t="str">
        <f>_xlfn.XLOOKUP(tbl_GoodsReceipt[[#This Row],[PO Line Key (Helper)]],tbl_PurchaseOrder[PO Line Key (Helper)],tbl_PurchaseOrder[Purchase UoM])</f>
        <v>PCS</v>
      </c>
      <c r="M19" s="18">
        <f>_xlfn.XLOOKUP(tbl_GoodsReceipt[[#This Row],[PO Line Key (Helper)]],tbl_PurchaseOrder[PO Line Key (Helper)],tbl_PurchaseOrder[Unit Price])</f>
        <v>7200000</v>
      </c>
      <c r="N19" s="20">
        <f>_xlfn.XLOOKUP(tbl_GoodsReceipt[[#This Row],[PO Line Key (Helper)]],tbl_PurchaseOrder[PO Line Key (Helper)],tbl_PurchaseOrder[Expected Delivery Date])</f>
        <v>46283</v>
      </c>
      <c r="O19" s="6" t="s">
        <v>454</v>
      </c>
      <c r="P19" s="34" t="s">
        <v>359</v>
      </c>
      <c r="Q19" s="6" t="s">
        <v>317</v>
      </c>
      <c r="R19" s="11">
        <v>43</v>
      </c>
      <c r="S19" s="11">
        <v>43</v>
      </c>
      <c r="T19" s="19">
        <f>tbl_GoodsReceipt[[#This Row],[Received Qty]]-tbl_GoodsReceipt[[#This Row],[Accepted Qty]]</f>
        <v>0</v>
      </c>
      <c r="U19" s="16" t="str">
        <f>IF(tbl_GoodsReceipt[[#This Row],[Accepted Qty]]=0,"Fully Rejected", IF(tbl_GoodsReceipt[[#This Row],[Rejected Qty]]=0,"Fully Accepted","Partialy Accepted"))</f>
        <v>Fully Accepted</v>
      </c>
      <c r="V19" s="6" t="s">
        <v>141</v>
      </c>
      <c r="W19" s="6" t="s">
        <v>457</v>
      </c>
      <c r="X19" s="105">
        <f>tbl_GoodsReceipt[[#This Row],[Received Qty]]-tbl_GoodsReceipt[[#This Row],[Order Qty]]</f>
        <v>0</v>
      </c>
      <c r="Y19" s="13">
        <f>IFERROR(tbl_GoodsReceipt[[#This Row],[Received Variance]]/tbl_GoodsReceipt[[#This Row],[Order Qty]],0)</f>
        <v>0</v>
      </c>
      <c r="Z19" s="13" t="str">
        <f>IF(tbl_GoodsReceipt[[#This Row],[GR Date]]&lt;=tbl_GoodsReceipt[[#This Row],[Expected Delivery Date]],"On-time","Late")</f>
        <v>On-time</v>
      </c>
      <c r="AA19" s="6"/>
      <c r="AB19" s="17" t="str">
        <f>tbl_GoodsReceipt[[#This Row],[GR Number]]&amp;"-"&amp;tbl_GoodsReceipt[[#This Row],[GR Line]]</f>
        <v>GR-2026-0011-10</v>
      </c>
    </row>
    <row r="20" spans="1:28" x14ac:dyDescent="0.25">
      <c r="A20" s="6" t="s">
        <v>452</v>
      </c>
      <c r="B20" s="7">
        <v>10</v>
      </c>
      <c r="C20" s="8">
        <v>46282</v>
      </c>
      <c r="D20" s="6" t="s">
        <v>449</v>
      </c>
      <c r="E20" s="7">
        <v>10</v>
      </c>
      <c r="F20" s="78" t="str">
        <f>tbl_GoodsReceipt[[#This Row],[PO Number]]&amp;"-"&amp;tbl_GoodsReceipt[[#This Row],[PO Line]]</f>
        <v>PO-2026-0012-10</v>
      </c>
      <c r="G20" s="79" t="str">
        <f>_xlfn.XLOOKUP(tbl_GoodsReceipt[[#This Row],[PO Line Key (Helper)]],tbl_PurchaseOrder[PO Line Key (Helper)],tbl_PurchaseOrder[Supplier Code])</f>
        <v>SUP-0005</v>
      </c>
      <c r="H20" s="79" t="str">
        <f>_xlfn.XLOOKUP(tbl_GoodsReceipt[[#This Row],[Supplier Code]],tbl_MasterSupplier[Supplier Code],tbl_MasterSupplier[Supplier Name])</f>
        <v>Global Engine Components Pte Ltd</v>
      </c>
      <c r="I20" s="75" t="str">
        <f>_xlfn.XLOOKUP(tbl_GoodsReceipt[[#This Row],[PO Line Key (Helper)]],tbl_PurchaseOrder[PO Line Key (Helper)],tbl_PurchaseOrder[Material Code])</f>
        <v>MAT-00015</v>
      </c>
      <c r="J20" s="75" t="str">
        <f>_xlfn.XLOOKUP(tbl_GoodsReceipt[[#This Row],[Material Code]],tbl_MasterMaterial[Material Code],tbl_MasterMaterial[Material Description])</f>
        <v>Turbocharger Assembly (Cat C15)</v>
      </c>
      <c r="K20" s="12">
        <f>_xlfn.XLOOKUP(tbl_GoodsReceipt[[#This Row],[PO Line Key (Helper)]],tbl_PurchaseOrder[PO Line Key (Helper)],tbl_PurchaseOrder[Ordered Qty])</f>
        <v>30</v>
      </c>
      <c r="L20" s="80" t="str">
        <f>_xlfn.XLOOKUP(tbl_GoodsReceipt[[#This Row],[PO Line Key (Helper)]],tbl_PurchaseOrder[PO Line Key (Helper)],tbl_PurchaseOrder[Purchase UoM])</f>
        <v>PCS</v>
      </c>
      <c r="M20" s="18">
        <f>_xlfn.XLOOKUP(tbl_GoodsReceipt[[#This Row],[PO Line Key (Helper)]],tbl_PurchaseOrder[PO Line Key (Helper)],tbl_PurchaseOrder[Unit Price])</f>
        <v>16250000</v>
      </c>
      <c r="N20" s="20">
        <f>_xlfn.XLOOKUP(tbl_GoodsReceipt[[#This Row],[PO Line Key (Helper)]],tbl_PurchaseOrder[PO Line Key (Helper)],tbl_PurchaseOrder[Expected Delivery Date])</f>
        <v>46289</v>
      </c>
      <c r="O20" s="6" t="s">
        <v>455</v>
      </c>
      <c r="P20" s="34" t="s">
        <v>362</v>
      </c>
      <c r="Q20" s="6" t="s">
        <v>435</v>
      </c>
      <c r="R20" s="11">
        <v>30</v>
      </c>
      <c r="S20" s="11">
        <v>30</v>
      </c>
      <c r="T20" s="19">
        <f>tbl_GoodsReceipt[[#This Row],[Received Qty]]-tbl_GoodsReceipt[[#This Row],[Accepted Qty]]</f>
        <v>0</v>
      </c>
      <c r="U20" s="16" t="str">
        <f>IF(tbl_GoodsReceipt[[#This Row],[Accepted Qty]]=0,"Fully Rejected", IF(tbl_GoodsReceipt[[#This Row],[Rejected Qty]]=0,"Fully Accepted","Partialy Accepted"))</f>
        <v>Fully Accepted</v>
      </c>
      <c r="V20" s="6" t="s">
        <v>141</v>
      </c>
      <c r="W20" s="6" t="s">
        <v>456</v>
      </c>
      <c r="X20" s="105">
        <f>tbl_GoodsReceipt[[#This Row],[Received Qty]]-tbl_GoodsReceipt[[#This Row],[Order Qty]]</f>
        <v>0</v>
      </c>
      <c r="Y20" s="13">
        <f>IFERROR(tbl_GoodsReceipt[[#This Row],[Received Variance]]/tbl_GoodsReceipt[[#This Row],[Order Qty]],0)</f>
        <v>0</v>
      </c>
      <c r="Z20" s="13" t="str">
        <f>IF(tbl_GoodsReceipt[[#This Row],[GR Date]]&lt;=tbl_GoodsReceipt[[#This Row],[Expected Delivery Date]],"On-time","Late")</f>
        <v>On-time</v>
      </c>
      <c r="AA20" s="6"/>
      <c r="AB20" s="17" t="str">
        <f>tbl_GoodsReceipt[[#This Row],[GR Number]]&amp;"-"&amp;tbl_GoodsReceipt[[#This Row],[GR Line]]</f>
        <v>GR-2026-0012-10</v>
      </c>
    </row>
    <row r="21" spans="1:28" x14ac:dyDescent="0.25">
      <c r="A21" s="38"/>
      <c r="B21" s="39"/>
      <c r="C21" s="92"/>
      <c r="D21" s="38"/>
      <c r="E21" s="39"/>
      <c r="F21" s="41"/>
      <c r="G21" s="42"/>
      <c r="H21" s="42"/>
      <c r="I21" s="43"/>
      <c r="J21" s="43"/>
      <c r="K21" s="44"/>
      <c r="L21" s="44"/>
      <c r="M21" s="45"/>
      <c r="N21" s="46"/>
      <c r="O21" s="38"/>
      <c r="P21" s="47"/>
      <c r="Q21" s="38"/>
      <c r="R21" s="48"/>
      <c r="S21" s="48"/>
      <c r="T21" s="49"/>
      <c r="U21" s="50"/>
      <c r="V21" s="38"/>
      <c r="W21" s="38"/>
      <c r="X21" s="51"/>
      <c r="Y21" s="52"/>
      <c r="Z21" s="52"/>
      <c r="AA21" s="38"/>
      <c r="AB21" s="54"/>
    </row>
    <row r="23" spans="1:28" x14ac:dyDescent="0.25">
      <c r="A23" s="4" t="s">
        <v>67</v>
      </c>
    </row>
    <row r="26" spans="1:28" x14ac:dyDescent="0.25">
      <c r="J26" s="95"/>
      <c r="K26" s="95" cm="1">
        <f t="array" ref="K26:K42">tbl_GoodsReceipt[Accepted Qty]+40</f>
        <v>120</v>
      </c>
    </row>
    <row r="27" spans="1:28" x14ac:dyDescent="0.25">
      <c r="K27">
        <v>100</v>
      </c>
    </row>
    <row r="28" spans="1:28" x14ac:dyDescent="0.25">
      <c r="K28">
        <v>120</v>
      </c>
    </row>
    <row r="29" spans="1:28" x14ac:dyDescent="0.25">
      <c r="K29">
        <v>100</v>
      </c>
    </row>
    <row r="30" spans="1:28" x14ac:dyDescent="0.25">
      <c r="K30">
        <v>180</v>
      </c>
    </row>
    <row r="31" spans="1:28" x14ac:dyDescent="0.25">
      <c r="K31">
        <v>230</v>
      </c>
    </row>
    <row r="32" spans="1:28" x14ac:dyDescent="0.25">
      <c r="K32">
        <v>160</v>
      </c>
    </row>
    <row r="33" spans="1:15" x14ac:dyDescent="0.25">
      <c r="K33">
        <v>5040</v>
      </c>
    </row>
    <row r="34" spans="1:15" x14ac:dyDescent="0.25">
      <c r="A34" s="21"/>
      <c r="B34" s="23"/>
      <c r="C34" s="23"/>
      <c r="D34" s="21"/>
      <c r="E34" s="21"/>
      <c r="F34" s="21"/>
      <c r="G34" s="21"/>
      <c r="K34">
        <v>108</v>
      </c>
    </row>
    <row r="35" spans="1:15" x14ac:dyDescent="0.25">
      <c r="A35" s="22"/>
      <c r="B35" s="27"/>
      <c r="C35" s="27"/>
      <c r="D35" s="22"/>
      <c r="E35" s="22"/>
      <c r="F35" s="22"/>
      <c r="G35" s="22"/>
      <c r="K35">
        <v>130</v>
      </c>
    </row>
    <row r="36" spans="1:15" x14ac:dyDescent="0.25">
      <c r="A36" s="22"/>
      <c r="B36" s="27"/>
      <c r="C36" s="28"/>
      <c r="D36" s="22"/>
      <c r="E36" s="27"/>
      <c r="F36" s="27"/>
      <c r="G36" s="22"/>
      <c r="H36" s="22"/>
      <c r="I36" s="22"/>
      <c r="J36" s="27"/>
      <c r="K36" s="27">
        <v>330</v>
      </c>
      <c r="L36" s="22"/>
      <c r="M36" s="22"/>
      <c r="N36" s="22"/>
      <c r="O36" s="22"/>
    </row>
    <row r="37" spans="1:15" x14ac:dyDescent="0.25">
      <c r="A37" s="22"/>
      <c r="B37" s="27"/>
      <c r="C37" s="28"/>
      <c r="D37" s="22"/>
      <c r="E37" s="27"/>
      <c r="F37" s="27"/>
      <c r="G37" s="22"/>
      <c r="H37" s="22"/>
      <c r="I37" s="22"/>
      <c r="J37" s="27"/>
      <c r="K37" s="27">
        <v>100</v>
      </c>
      <c r="L37" s="22"/>
      <c r="M37" s="22"/>
      <c r="N37" s="22"/>
      <c r="O37" s="22"/>
    </row>
    <row r="38" spans="1:15" x14ac:dyDescent="0.25">
      <c r="A38" s="22"/>
      <c r="B38" s="27"/>
      <c r="C38" s="28"/>
      <c r="D38" s="22"/>
      <c r="E38" s="27"/>
      <c r="F38" s="27"/>
      <c r="G38" s="22"/>
      <c r="H38" s="22"/>
      <c r="I38" s="22"/>
      <c r="J38" s="27"/>
      <c r="K38" s="27">
        <v>2540</v>
      </c>
      <c r="L38" s="22"/>
      <c r="M38" s="22"/>
      <c r="N38" s="22"/>
      <c r="O38" s="22"/>
    </row>
    <row r="39" spans="1:15" x14ac:dyDescent="0.25">
      <c r="A39" s="22"/>
      <c r="B39" s="27"/>
      <c r="C39" s="28"/>
      <c r="D39" s="22"/>
      <c r="E39" s="27"/>
      <c r="F39" s="27"/>
      <c r="G39" s="22"/>
      <c r="H39" s="22"/>
      <c r="I39" s="22"/>
      <c r="J39" s="27"/>
      <c r="K39" s="27">
        <v>90</v>
      </c>
      <c r="L39" s="22"/>
      <c r="M39" s="22"/>
      <c r="N39" s="22"/>
      <c r="O39" s="22"/>
    </row>
    <row r="40" spans="1:15" x14ac:dyDescent="0.25">
      <c r="A40" s="22"/>
      <c r="B40" s="27"/>
      <c r="C40" s="28"/>
      <c r="D40" s="22"/>
      <c r="E40" s="27"/>
      <c r="F40" s="27"/>
      <c r="G40" s="22"/>
      <c r="H40" s="22"/>
      <c r="I40" s="22"/>
      <c r="J40" s="27"/>
      <c r="K40" s="27">
        <v>100</v>
      </c>
      <c r="L40" s="22"/>
      <c r="M40" s="22"/>
      <c r="N40" s="22"/>
      <c r="O40" s="22"/>
    </row>
    <row r="41" spans="1:15" x14ac:dyDescent="0.25">
      <c r="A41" s="22"/>
      <c r="B41" s="27"/>
      <c r="C41" s="28"/>
      <c r="D41" s="22"/>
      <c r="E41" s="27"/>
      <c r="F41" s="27"/>
      <c r="G41" s="22"/>
      <c r="H41" s="22"/>
      <c r="I41" s="22"/>
      <c r="J41" s="27"/>
      <c r="K41" s="27">
        <v>83</v>
      </c>
      <c r="L41" s="22"/>
      <c r="M41" s="22"/>
      <c r="N41" s="22"/>
      <c r="O41" s="22"/>
    </row>
    <row r="42" spans="1:15" x14ac:dyDescent="0.25">
      <c r="A42" s="22"/>
      <c r="B42" s="27"/>
      <c r="C42" s="28"/>
      <c r="D42" s="22"/>
      <c r="E42" s="27"/>
      <c r="F42" s="27"/>
      <c r="G42" s="22"/>
      <c r="H42" s="22"/>
      <c r="I42" s="22"/>
      <c r="J42" s="27"/>
      <c r="K42" s="27">
        <v>70</v>
      </c>
      <c r="L42" s="22"/>
      <c r="M42" s="22"/>
      <c r="N42" s="22"/>
      <c r="O42" s="22"/>
    </row>
    <row r="43" spans="1:15" x14ac:dyDescent="0.25">
      <c r="A43" s="22"/>
      <c r="B43" s="27"/>
      <c r="C43" s="28"/>
      <c r="D43" s="22"/>
      <c r="E43" s="27"/>
      <c r="F43" s="27"/>
      <c r="G43" s="22"/>
      <c r="H43" s="22"/>
      <c r="I43" s="22"/>
      <c r="J43" s="27"/>
      <c r="K43" s="27"/>
      <c r="L43" s="22"/>
      <c r="M43" s="22"/>
      <c r="N43" s="22"/>
      <c r="O43" s="22"/>
    </row>
    <row r="44" spans="1:15" x14ac:dyDescent="0.25">
      <c r="A44" s="22"/>
      <c r="B44" s="27"/>
      <c r="C44" s="28"/>
      <c r="D44" s="22"/>
      <c r="E44" s="27"/>
      <c r="F44" s="27"/>
      <c r="G44" s="22"/>
      <c r="H44" s="22"/>
      <c r="I44" s="22"/>
      <c r="J44" s="27"/>
      <c r="K44" s="27"/>
      <c r="L44" s="22"/>
      <c r="M44" s="22"/>
      <c r="N44" s="22"/>
      <c r="O44" s="22"/>
    </row>
    <row r="45" spans="1:15" x14ac:dyDescent="0.25">
      <c r="A45" s="22"/>
      <c r="B45" s="27"/>
      <c r="C45" s="28"/>
      <c r="D45" s="22"/>
      <c r="E45" s="27"/>
      <c r="F45" s="27"/>
      <c r="G45" s="22"/>
      <c r="H45" s="22"/>
      <c r="I45" s="22"/>
      <c r="J45" s="27"/>
      <c r="K45" s="27"/>
      <c r="L45" s="22"/>
      <c r="M45" s="22"/>
      <c r="N45" s="22"/>
      <c r="O45" s="22"/>
    </row>
    <row r="46" spans="1:15" x14ac:dyDescent="0.25">
      <c r="A46" s="22"/>
      <c r="B46" s="27"/>
      <c r="C46" s="28"/>
      <c r="D46" s="22"/>
      <c r="E46" s="27"/>
      <c r="F46" s="27"/>
      <c r="G46" s="22"/>
      <c r="H46" s="22"/>
      <c r="I46" s="22"/>
      <c r="J46" s="27"/>
      <c r="K46" s="27"/>
      <c r="L46" s="22"/>
      <c r="M46" s="22"/>
      <c r="N46" s="22"/>
      <c r="O46" s="22"/>
    </row>
    <row r="47" spans="1:15" x14ac:dyDescent="0.25">
      <c r="A47" s="22"/>
      <c r="B47" s="27"/>
      <c r="C47" s="28"/>
      <c r="D47" s="22"/>
      <c r="E47" s="27"/>
      <c r="F47" s="27"/>
      <c r="G47" s="22"/>
      <c r="H47" s="22"/>
      <c r="I47" s="22"/>
      <c r="J47" s="27"/>
      <c r="K47" s="27"/>
      <c r="L47" s="22"/>
      <c r="M47" s="22"/>
      <c r="N47" s="22"/>
      <c r="O47" s="22"/>
    </row>
    <row r="48" spans="1:15" x14ac:dyDescent="0.25">
      <c r="A48" s="22"/>
      <c r="B48" s="27"/>
      <c r="C48" s="28"/>
      <c r="D48" s="22"/>
      <c r="E48" s="27"/>
      <c r="F48" s="27"/>
      <c r="G48" s="22"/>
      <c r="H48" s="22"/>
      <c r="I48" s="22"/>
      <c r="J48" s="27"/>
      <c r="K48" s="27"/>
      <c r="L48" s="22"/>
      <c r="M48" s="22"/>
      <c r="N48" s="22"/>
      <c r="O48" s="22"/>
    </row>
  </sheetData>
  <mergeCells count="1">
    <mergeCell ref="A1:AB1"/>
  </mergeCells>
  <phoneticPr fontId="10" type="noConversion"/>
  <conditionalFormatting sqref="K24:K35">
    <cfRule type="expression" dxfId="50" priority="124">
      <formula>$K24="Fully Rejected"</formula>
    </cfRule>
    <cfRule type="expression" dxfId="49" priority="125">
      <formula>$K24="Partially Accepted"</formula>
    </cfRule>
  </conditionalFormatting>
  <conditionalFormatting sqref="S22:S23 S36:S512">
    <cfRule type="expression" dxfId="48" priority="6">
      <formula>$S22="Fully Rejected"</formula>
    </cfRule>
    <cfRule type="expression" dxfId="47" priority="7">
      <formula>$S22="Partially Accepted"</formula>
    </cfRule>
  </conditionalFormatting>
  <conditionalFormatting sqref="U4:U21">
    <cfRule type="expression" dxfId="46" priority="61">
      <formula>$U4="Fully Rejected"</formula>
    </cfRule>
    <cfRule type="expression" dxfId="45" priority="62">
      <formula>$U4="Partially Accepted"</formula>
    </cfRule>
  </conditionalFormatting>
  <conditionalFormatting sqref="Z4:Z21">
    <cfRule type="expression" dxfId="44" priority="1">
      <formula>$Z4="Late"</formula>
    </cfRule>
  </conditionalFormatting>
  <dataValidations count="5">
    <dataValidation type="list" showInputMessage="1" showErrorMessage="1" errorTitle="Invalid entry" error="Please select a value from the list." promptTitle="Rejection Reason" prompt="Reason for any rejected quantity." sqref="V4:V21 L24:L35 T22:T23 T36:T512" xr:uid="{00000000-0002-0000-0400-000002000000}">
      <formula1>"N/A,Damaged in Transit,Wrong Item,Quality Defect,Quantity Shortage"</formula1>
      <formula2>0</formula2>
    </dataValidation>
    <dataValidation type="list" showInputMessage="1" showErrorMessage="1" errorTitle="Invalid entry" error="Please select a value from the list." promptTitle="Receiving Location (Dock)" prompt="Select the receiving dock used." sqref="P21 N24:N35 V22:V23 V36:V512" xr:uid="{00000000-0002-0000-0400-000003000000}">
      <formula1>"RCV-DOCK-01,RCV-DOCK-02"</formula1>
      <formula2>0</formula2>
    </dataValidation>
    <dataValidation type="list" showInputMessage="1" showErrorMessage="1" sqref="Q21" xr:uid="{09B3378B-3AFF-4FA3-886F-3469AAAADA3E}">
      <formula1>"Andi,Budi,Rizky,Fandi"</formula1>
    </dataValidation>
    <dataValidation type="list" showInputMessage="1" showErrorMessage="1" errorTitle="Invalid entry" error="Please select a value from the list." promptTitle="Receiving Location (Dock)" prompt="Select the receiving dock used." sqref="P4:P20" xr:uid="{F2DD4E41-77E0-4AE9-ADD8-33DE8AF42AA2}">
      <formula1>"E-01,E-02"</formula1>
    </dataValidation>
    <dataValidation type="list" showInputMessage="1" showErrorMessage="1" sqref="Q4:Q20" xr:uid="{AA21052D-7BBB-4C12-9A18-46306A0ABF25}">
      <formula1>"Andi,Budi,Rizky,Dimas"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errorTitle="Invalid entry" error="Please select a value from the list." promptTitle="PO Number" prompt="Select the PO Number this receipt is against." xr:uid="{00000000-0002-0000-0400-000000000000}">
          <x14:formula1>
            <xm:f>'04_Purchase_Order'!$A$4:$A$26</xm:f>
          </x14:formula1>
          <x14:formula2>
            <xm:f>0</xm:f>
          </x14:formula2>
          <xm:sqref>D49:D512 D20 D4:D18 D21:D23</xm:sqref>
        </x14:dataValidation>
        <x14:dataValidation type="list" showInputMessage="1" showErrorMessage="1" errorTitle="Invalid entry" error="Please select a value from the list." promptTitle="PO Line" prompt="Select the PO Line this receipt is against." xr:uid="{00000000-0002-0000-0400-000001000000}">
          <x14:formula1>
            <xm:f>'04_Purchase_Order'!$B$4:$B$26</xm:f>
          </x14:formula1>
          <x14:formula2>
            <xm:f>0</xm:f>
          </x14:formula2>
          <xm:sqref>E49:F512 E4:E20 E21 E22:F23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54"/>
  <sheetViews>
    <sheetView showGridLines="0" zoomScaleNormal="100" workbookViewId="0">
      <selection activeCell="A2" sqref="A2"/>
    </sheetView>
  </sheetViews>
  <sheetFormatPr defaultColWidth="8.7109375" defaultRowHeight="15" x14ac:dyDescent="0.25"/>
  <cols>
    <col min="1" max="1" width="16" customWidth="1"/>
    <col min="2" max="2" width="12.28515625" customWidth="1"/>
    <col min="3" max="3" width="12" customWidth="1"/>
    <col min="4" max="4" width="14" customWidth="1"/>
    <col min="5" max="5" width="14.85546875" bestFit="1" customWidth="1"/>
    <col min="6" max="6" width="10.85546875" customWidth="1"/>
    <col min="7" max="7" width="16.7109375" customWidth="1"/>
    <col min="8" max="8" width="13.85546875" customWidth="1"/>
    <col min="9" max="9" width="29.28515625" bestFit="1" customWidth="1"/>
    <col min="10" max="10" width="18.140625" customWidth="1"/>
    <col min="11" max="11" width="10.42578125" customWidth="1"/>
    <col min="12" max="12" width="12.42578125" customWidth="1"/>
    <col min="13" max="13" width="12.28515625" customWidth="1"/>
    <col min="14" max="14" width="12" customWidth="1"/>
    <col min="15" max="16" width="20.140625" customWidth="1"/>
    <col min="17" max="17" width="21.28515625" bestFit="1" customWidth="1"/>
    <col min="18" max="18" width="20.140625" customWidth="1"/>
    <col min="19" max="20" width="28.7109375" customWidth="1"/>
    <col min="21" max="21" width="23" bestFit="1" customWidth="1"/>
    <col min="22" max="22" width="42.140625" bestFit="1" customWidth="1"/>
    <col min="23" max="23" width="21.28515625" bestFit="1" customWidth="1"/>
  </cols>
  <sheetData>
    <row r="1" spans="1:23" ht="24" customHeight="1" x14ac:dyDescent="0.25">
      <c r="A1" s="109" t="s">
        <v>146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</row>
    <row r="3" spans="1:23" ht="31.5" customHeight="1" x14ac:dyDescent="0.25">
      <c r="A3" s="1" t="s">
        <v>374</v>
      </c>
      <c r="B3" s="1" t="s">
        <v>375</v>
      </c>
      <c r="C3" s="1" t="s">
        <v>376</v>
      </c>
      <c r="D3" s="1" t="s">
        <v>135</v>
      </c>
      <c r="E3" s="1" t="s">
        <v>133</v>
      </c>
      <c r="F3" s="1" t="s">
        <v>134</v>
      </c>
      <c r="G3" s="1" t="s">
        <v>139</v>
      </c>
      <c r="H3" s="1" t="s">
        <v>1</v>
      </c>
      <c r="I3" s="1" t="s">
        <v>2</v>
      </c>
      <c r="J3" s="1" t="s">
        <v>138</v>
      </c>
      <c r="K3" s="1" t="s">
        <v>371</v>
      </c>
      <c r="L3" s="1" t="s">
        <v>5</v>
      </c>
      <c r="M3" s="1" t="s">
        <v>380</v>
      </c>
      <c r="N3" s="1" t="s">
        <v>4</v>
      </c>
      <c r="O3" s="1" t="s">
        <v>377</v>
      </c>
      <c r="P3" s="1" t="s">
        <v>394</v>
      </c>
      <c r="Q3" s="1" t="s">
        <v>9</v>
      </c>
      <c r="R3" s="1" t="s">
        <v>378</v>
      </c>
      <c r="S3" s="1" t="s">
        <v>373</v>
      </c>
      <c r="T3" s="1" t="s">
        <v>148</v>
      </c>
      <c r="U3" s="1" t="s">
        <v>379</v>
      </c>
      <c r="V3" s="1" t="s">
        <v>124</v>
      </c>
      <c r="W3" s="1" t="s">
        <v>149</v>
      </c>
    </row>
    <row r="4" spans="1:23" x14ac:dyDescent="0.25">
      <c r="A4" s="6" t="s">
        <v>150</v>
      </c>
      <c r="B4" s="7">
        <v>10</v>
      </c>
      <c r="C4" s="8">
        <v>46244</v>
      </c>
      <c r="D4" s="61">
        <f>_xlfn.XLOOKUP(tbl_PutAway[[#This Row],[GR Line Key (Helper)]],tbl_GoodsReceipt[GR Line Key (Helper)],tbl_GoodsReceipt[GR Date])</f>
        <v>46244</v>
      </c>
      <c r="E4" s="6" t="s">
        <v>140</v>
      </c>
      <c r="F4" s="7">
        <v>10</v>
      </c>
      <c r="G4" s="17" t="str">
        <f>tbl_PutAway[[#This Row],[GR Number]]&amp;"-"&amp;tbl_PutAway[[#This Row],[GR Line]]</f>
        <v>GR-2026-0001-10</v>
      </c>
      <c r="H4" s="9" t="str">
        <f>_xlfn.XLOOKUP(tbl_PutAway[[#This Row],[GR Line Key (Helper)]],tbl_GoodsReceipt[GR Line Key (Helper)],tbl_GoodsReceipt[Material Code])</f>
        <v>MAT-00003</v>
      </c>
      <c r="I4" s="9" t="str">
        <f>_xlfn.XLOOKUP(tbl_PutAway[[#This Row],[Material Code]],tbl_GoodsReceipt[Material Code],tbl_GoodsReceipt[Material Description])</f>
        <v>Engine Oil Filter (Cat 320D)</v>
      </c>
      <c r="J4" s="9" t="str">
        <f>_xlfn.XLOOKUP(tbl_PutAway[[#This Row],[GR Line Key (Helper)]],tbl_GoodsReceipt[GR Line Key (Helper)],tbl_GoodsReceipt[Batch/Lot Number])</f>
        <v>LOT-FLT-260810</v>
      </c>
      <c r="K4" s="12">
        <f>_xlfn.XLOOKUP(tbl_PutAway[[#This Row],[GR Line Key (Helper)]],tbl_GoodsReceipt[GR Line Key (Helper)],tbl_GoodsReceipt[Accepted Qty])</f>
        <v>80</v>
      </c>
      <c r="L4" s="12" t="str">
        <f>_xlfn.XLOOKUP(tbl_PutAway[[#This Row],[GR Line Key (Helper)]],tbl_GoodsReceipt[GR Line Key (Helper)],tbl_GoodsReceipt[Purchase UoM])</f>
        <v>PCS</v>
      </c>
      <c r="M4" s="7">
        <v>80</v>
      </c>
      <c r="N4" s="12" t="str">
        <f>_xlfn.XLOOKUP(tbl_PutAway[[#This Row],[Material Code]],tbl_MasterMaterial[Material Code],tbl_MasterMaterial[Base UoM])</f>
        <v>PCS</v>
      </c>
      <c r="O4" s="9" t="str">
        <f>_xlfn.XLOOKUP(tbl_PutAway[[#This Row],[GR Line Key (Helper)]],tbl_GoodsReceipt[GR Line Key (Helper)],tbl_GoodsReceipt[Receiving Dock])</f>
        <v>E-02</v>
      </c>
      <c r="P4" s="62" t="str">
        <f>_xlfn.XLOOKUP(tbl_PutAway[[#This Row],[Material Code]],tbl_MasterMaterial[Material Code],tbl_MasterMaterial[Default Storage Location])</f>
        <v>A-02-01-01</v>
      </c>
      <c r="Q4" s="62" t="str">
        <f>_xlfn.XLOOKUP(tbl_PutAway[[#This Row],[Material Code]],tbl_MasterMaterial[Material Code],tbl_MasterMaterial[Storage/Handling Class])</f>
        <v>Standard</v>
      </c>
      <c r="R4" s="6" t="s">
        <v>239</v>
      </c>
      <c r="S4" s="9" t="str">
        <f>_xlfn.XLOOKUP(tbl_PutAway[[#This Row],[To Location]],tbl_MasterLocation[Location Code],tbl_MasterLocation[Storage/Handling Requirement])</f>
        <v>Standard</v>
      </c>
      <c r="T4" s="63" t="str">
        <f>IF(tbl_PutAway[[#This Row],[Location Storage/Handling Requirement]]=tbl_PutAway[[#This Row],[Storage/Handling Class]],"Match","Mismatch - Review")</f>
        <v>Match</v>
      </c>
      <c r="U4" s="16" t="str">
        <f>IF(tbl_PutAway[[#This Row],[Put Away Qty]]=0,"Pending", IF(tbl_PutAway[[#This Row],[Put Away Qty]]&lt;tbl_PutAway[[#This Row],[Accepted Qty]],"Partial","Completed"))</f>
        <v>Completed</v>
      </c>
      <c r="V4" s="6"/>
      <c r="W4" s="17" t="str">
        <f>tbl_PutAway[[#This Row],[Put Away Number]]&amp;"-"&amp;tbl_PutAway[[#This Row],[Put Away Line]]</f>
        <v>PA-2026-0001-10</v>
      </c>
    </row>
    <row r="5" spans="1:23" x14ac:dyDescent="0.25">
      <c r="A5" s="6" t="s">
        <v>150</v>
      </c>
      <c r="B5" s="7">
        <v>20</v>
      </c>
      <c r="C5" s="8">
        <v>46244</v>
      </c>
      <c r="D5" s="61">
        <f>_xlfn.XLOOKUP(tbl_PutAway[[#This Row],[GR Line Key (Helper)]],tbl_GoodsReceipt[GR Line Key (Helper)],tbl_GoodsReceipt[GR Date])</f>
        <v>46244</v>
      </c>
      <c r="E5" s="6" t="s">
        <v>140</v>
      </c>
      <c r="F5" s="7">
        <v>20</v>
      </c>
      <c r="G5" s="17" t="str">
        <f>tbl_PutAway[[#This Row],[GR Number]]&amp;"-"&amp;tbl_PutAway[[#This Row],[GR Line]]</f>
        <v>GR-2026-0001-20</v>
      </c>
      <c r="H5" s="9" t="str">
        <f>_xlfn.XLOOKUP(tbl_PutAway[[#This Row],[GR Line Key (Helper)]],tbl_GoodsReceipt[GR Line Key (Helper)],tbl_GoodsReceipt[Material Code])</f>
        <v>MAT-00007</v>
      </c>
      <c r="I5" s="9" t="str">
        <f>_xlfn.XLOOKUP(tbl_PutAway[[#This Row],[Material Code]],tbl_GoodsReceipt[Material Code],tbl_GoodsReceipt[Material Description])</f>
        <v>Air Filter Element - Primary</v>
      </c>
      <c r="J5" s="9" t="str">
        <f>_xlfn.XLOOKUP(tbl_PutAway[[#This Row],[GR Line Key (Helper)]],tbl_GoodsReceipt[GR Line Key (Helper)],tbl_GoodsReceipt[Batch/Lot Number])</f>
        <v>LOT-FLT-260810</v>
      </c>
      <c r="K5" s="12">
        <f>_xlfn.XLOOKUP(tbl_PutAway[[#This Row],[GR Line Key (Helper)]],tbl_GoodsReceipt[GR Line Key (Helper)],tbl_GoodsReceipt[Accepted Qty])</f>
        <v>60</v>
      </c>
      <c r="L5" s="12" t="str">
        <f>_xlfn.XLOOKUP(tbl_PutAway[[#This Row],[GR Line Key (Helper)]],tbl_GoodsReceipt[GR Line Key (Helper)],tbl_GoodsReceipt[Purchase UoM])</f>
        <v>PCS</v>
      </c>
      <c r="M5" s="7">
        <v>60</v>
      </c>
      <c r="N5" s="12" t="str">
        <f>_xlfn.XLOOKUP(tbl_PutAway[[#This Row],[Material Code]],tbl_MasterMaterial[Material Code],tbl_MasterMaterial[Base UoM])</f>
        <v>PCS</v>
      </c>
      <c r="O5" s="9" t="str">
        <f>_xlfn.XLOOKUP(tbl_PutAway[[#This Row],[GR Line Key (Helper)]],tbl_GoodsReceipt[GR Line Key (Helper)],tbl_GoodsReceipt[Receiving Dock])</f>
        <v>E-02</v>
      </c>
      <c r="P5" s="62" t="str">
        <f>_xlfn.XLOOKUP(tbl_PutAway[[#This Row],[Material Code]],tbl_MasterMaterial[Material Code],tbl_MasterMaterial[Default Storage Location])</f>
        <v>A-02-01-02</v>
      </c>
      <c r="Q5" s="62" t="str">
        <f>_xlfn.XLOOKUP(tbl_PutAway[[#This Row],[Material Code]],tbl_MasterMaterial[Material Code],tbl_MasterMaterial[Storage/Handling Class])</f>
        <v>Standard</v>
      </c>
      <c r="R5" s="6" t="s">
        <v>243</v>
      </c>
      <c r="S5" s="9" t="str">
        <f>_xlfn.XLOOKUP(tbl_PutAway[[#This Row],[To Location]],tbl_MasterLocation[Location Code],tbl_MasterLocation[Storage/Handling Requirement])</f>
        <v>Standard</v>
      </c>
      <c r="T5" s="63" t="str">
        <f>IF(tbl_PutAway[[#This Row],[Location Storage/Handling Requirement]]=tbl_PutAway[[#This Row],[Storage/Handling Class]],"Match","Mismatch - Review")</f>
        <v>Match</v>
      </c>
      <c r="U5" s="16" t="str">
        <f>IF(tbl_PutAway[[#This Row],[Put Away Qty]]=0,"Pending", IF(tbl_PutAway[[#This Row],[Put Away Qty]]&lt;tbl_PutAway[[#This Row],[Accepted Qty]],"Partial","Completed"))</f>
        <v>Completed</v>
      </c>
      <c r="V5" s="6"/>
      <c r="W5" s="17" t="str">
        <f>tbl_PutAway[[#This Row],[Put Away Number]]&amp;"-"&amp;tbl_PutAway[[#This Row],[Put Away Line]]</f>
        <v>PA-2026-0001-20</v>
      </c>
    </row>
    <row r="6" spans="1:23" x14ac:dyDescent="0.25">
      <c r="A6" s="6" t="s">
        <v>151</v>
      </c>
      <c r="B6" s="7">
        <v>10</v>
      </c>
      <c r="C6" s="8">
        <v>46249</v>
      </c>
      <c r="D6" s="61">
        <f>_xlfn.XLOOKUP(tbl_PutAway[[#This Row],[GR Line Key (Helper)]],tbl_GoodsReceipt[GR Line Key (Helper)],tbl_GoodsReceipt[GR Date])</f>
        <v>46249</v>
      </c>
      <c r="E6" s="6" t="s">
        <v>143</v>
      </c>
      <c r="F6" s="7">
        <v>10</v>
      </c>
      <c r="G6" s="17" t="str">
        <f>tbl_PutAway[[#This Row],[GR Number]]&amp;"-"&amp;tbl_PutAway[[#This Row],[GR Line]]</f>
        <v>GR-2026-0002-10</v>
      </c>
      <c r="H6" s="9" t="str">
        <f>_xlfn.XLOOKUP(tbl_PutAway[[#This Row],[GR Line Key (Helper)]],tbl_GoodsReceipt[GR Line Key (Helper)],tbl_GoodsReceipt[Material Code])</f>
        <v>MAT-00001</v>
      </c>
      <c r="I6" s="9" t="str">
        <f>_xlfn.XLOOKUP(tbl_PutAway[[#This Row],[Material Code]],tbl_GoodsReceipt[Material Code],tbl_GoodsReceipt[Material Description])</f>
        <v>Hydraulic Cylinder Seal Kit 80mm</v>
      </c>
      <c r="J6" s="9" t="str">
        <f>_xlfn.XLOOKUP(tbl_PutAway[[#This Row],[GR Line Key (Helper)]],tbl_GoodsReceipt[GR Line Key (Helper)],tbl_GoodsReceipt[Batch/Lot Number])</f>
        <v>LOT-HYD-260815</v>
      </c>
      <c r="K6" s="12">
        <f>_xlfn.XLOOKUP(tbl_PutAway[[#This Row],[GR Line Key (Helper)]],tbl_GoodsReceipt[GR Line Key (Helper)],tbl_GoodsReceipt[Accepted Qty])</f>
        <v>80</v>
      </c>
      <c r="L6" s="12" t="str">
        <f>_xlfn.XLOOKUP(tbl_PutAway[[#This Row],[GR Line Key (Helper)]],tbl_GoodsReceipt[GR Line Key (Helper)],tbl_GoodsReceipt[Purchase UoM])</f>
        <v>PCS</v>
      </c>
      <c r="M6" s="7">
        <v>80</v>
      </c>
      <c r="N6" s="12" t="str">
        <f>_xlfn.XLOOKUP(tbl_PutAway[[#This Row],[Material Code]],tbl_MasterMaterial[Material Code],tbl_MasterMaterial[Base UoM])</f>
        <v>PCS</v>
      </c>
      <c r="O6" s="9" t="str">
        <f>_xlfn.XLOOKUP(tbl_PutAway[[#This Row],[GR Line Key (Helper)]],tbl_GoodsReceipt[GR Line Key (Helper)],tbl_GoodsReceipt[Receiving Dock])</f>
        <v>E-01</v>
      </c>
      <c r="P6" s="62" t="str">
        <f>_xlfn.XLOOKUP(tbl_PutAway[[#This Row],[Material Code]],tbl_MasterMaterial[Material Code],tbl_MasterMaterial[Default Storage Location])</f>
        <v>A-01-01-01</v>
      </c>
      <c r="Q6" s="62" t="str">
        <f>_xlfn.XLOOKUP(tbl_PutAway[[#This Row],[Material Code]],tbl_MasterMaterial[Material Code],tbl_MasterMaterial[Storage/Handling Class])</f>
        <v>Standard</v>
      </c>
      <c r="R6" s="6" t="s">
        <v>238</v>
      </c>
      <c r="S6" s="9" t="str">
        <f>_xlfn.XLOOKUP(tbl_PutAway[[#This Row],[To Location]],tbl_MasterLocation[Location Code],tbl_MasterLocation[Storage/Handling Requirement])</f>
        <v>Standard</v>
      </c>
      <c r="T6" s="63" t="str">
        <f>IF(tbl_PutAway[[#This Row],[Location Storage/Handling Requirement]]=tbl_PutAway[[#This Row],[Storage/Handling Class]],"Match","Mismatch - Review")</f>
        <v>Match</v>
      </c>
      <c r="U6" s="16" t="str">
        <f>IF(tbl_PutAway[[#This Row],[Put Away Qty]]=0,"Pending", IF(tbl_PutAway[[#This Row],[Put Away Qty]]&lt;tbl_PutAway[[#This Row],[Accepted Qty]],"Partial","Completed"))</f>
        <v>Completed</v>
      </c>
      <c r="V6" s="6"/>
      <c r="W6" s="17" t="str">
        <f>tbl_PutAway[[#This Row],[Put Away Number]]&amp;"-"&amp;tbl_PutAway[[#This Row],[Put Away Line]]</f>
        <v>PA-2026-0002-10</v>
      </c>
    </row>
    <row r="7" spans="1:23" x14ac:dyDescent="0.25">
      <c r="A7" s="6" t="s">
        <v>151</v>
      </c>
      <c r="B7" s="7">
        <v>20</v>
      </c>
      <c r="C7" s="8">
        <v>46249</v>
      </c>
      <c r="D7" s="61">
        <f>_xlfn.XLOOKUP(tbl_PutAway[[#This Row],[GR Line Key (Helper)]],tbl_GoodsReceipt[GR Line Key (Helper)],tbl_GoodsReceipt[GR Date])</f>
        <v>46249</v>
      </c>
      <c r="E7" s="6" t="s">
        <v>143</v>
      </c>
      <c r="F7" s="7">
        <v>20</v>
      </c>
      <c r="G7" s="17" t="str">
        <f>tbl_PutAway[[#This Row],[GR Number]]&amp;"-"&amp;tbl_PutAway[[#This Row],[GR Line]]</f>
        <v>GR-2026-0002-20</v>
      </c>
      <c r="H7" s="9" t="str">
        <f>_xlfn.XLOOKUP(tbl_PutAway[[#This Row],[GR Line Key (Helper)]],tbl_GoodsReceipt[GR Line Key (Helper)],tbl_GoodsReceipt[Material Code])</f>
        <v>MAT-00008</v>
      </c>
      <c r="I7" s="9" t="str">
        <f>_xlfn.XLOOKUP(tbl_PutAway[[#This Row],[Material Code]],tbl_GoodsReceipt[Material Code],tbl_GoodsReceipt[Material Description])</f>
        <v>Hydraulic Hose 1/2in x 3m</v>
      </c>
      <c r="J7" s="9" t="str">
        <f>_xlfn.XLOOKUP(tbl_PutAway[[#This Row],[GR Line Key (Helper)]],tbl_GoodsReceipt[GR Line Key (Helper)],tbl_GoodsReceipt[Batch/Lot Number])</f>
        <v>LOT-HYD-260815</v>
      </c>
      <c r="K7" s="12">
        <f>_xlfn.XLOOKUP(tbl_PutAway[[#This Row],[GR Line Key (Helper)]],tbl_GoodsReceipt[GR Line Key (Helper)],tbl_GoodsReceipt[Accepted Qty])</f>
        <v>60</v>
      </c>
      <c r="L7" s="12" t="str">
        <f>_xlfn.XLOOKUP(tbl_PutAway[[#This Row],[GR Line Key (Helper)]],tbl_GoodsReceipt[GR Line Key (Helper)],tbl_GoodsReceipt[Purchase UoM])</f>
        <v>PCS</v>
      </c>
      <c r="M7" s="7">
        <v>60</v>
      </c>
      <c r="N7" s="12" t="str">
        <f>_xlfn.XLOOKUP(tbl_PutAway[[#This Row],[Material Code]],tbl_MasterMaterial[Material Code],tbl_MasterMaterial[Base UoM])</f>
        <v>PCS</v>
      </c>
      <c r="O7" s="9" t="str">
        <f>_xlfn.XLOOKUP(tbl_PutAway[[#This Row],[GR Line Key (Helper)]],tbl_GoodsReceipt[GR Line Key (Helper)],tbl_GoodsReceipt[Receiving Dock])</f>
        <v>E-01</v>
      </c>
      <c r="P7" s="62" t="str">
        <f>_xlfn.XLOOKUP(tbl_PutAway[[#This Row],[Material Code]],tbl_MasterMaterial[Material Code],tbl_MasterMaterial[Default Storage Location])</f>
        <v>A-01-02-01</v>
      </c>
      <c r="Q7" s="62" t="str">
        <f>_xlfn.XLOOKUP(tbl_PutAway[[#This Row],[Material Code]],tbl_MasterMaterial[Material Code],tbl_MasterMaterial[Storage/Handling Class])</f>
        <v>Standard</v>
      </c>
      <c r="R7" s="6" t="s">
        <v>244</v>
      </c>
      <c r="S7" s="9" t="str">
        <f>_xlfn.XLOOKUP(tbl_PutAway[[#This Row],[To Location]],tbl_MasterLocation[Location Code],tbl_MasterLocation[Storage/Handling Requirement])</f>
        <v>Standard</v>
      </c>
      <c r="T7" s="63" t="str">
        <f>IF(tbl_PutAway[[#This Row],[Location Storage/Handling Requirement]]=tbl_PutAway[[#This Row],[Storage/Handling Class]],"Match","Mismatch - Review")</f>
        <v>Match</v>
      </c>
      <c r="U7" s="16" t="str">
        <f>IF(tbl_PutAway[[#This Row],[Put Away Qty]]=0,"Pending", IF(tbl_PutAway[[#This Row],[Put Away Qty]]&lt;tbl_PutAway[[#This Row],[Accepted Qty]],"Partial","Completed"))</f>
        <v>Completed</v>
      </c>
      <c r="V7" s="6"/>
      <c r="W7" s="17" t="str">
        <f>tbl_PutAway[[#This Row],[Put Away Number]]&amp;"-"&amp;tbl_PutAway[[#This Row],[Put Away Line]]</f>
        <v>PA-2026-0002-20</v>
      </c>
    </row>
    <row r="8" spans="1:23" x14ac:dyDescent="0.25">
      <c r="A8" s="6" t="s">
        <v>151</v>
      </c>
      <c r="B8" s="7">
        <v>30</v>
      </c>
      <c r="C8" s="8">
        <v>46249</v>
      </c>
      <c r="D8" s="61">
        <f>_xlfn.XLOOKUP(tbl_PutAway[[#This Row],[GR Line Key (Helper)]],tbl_GoodsReceipt[GR Line Key (Helper)],tbl_GoodsReceipt[GR Date])</f>
        <v>46249</v>
      </c>
      <c r="E8" s="6" t="s">
        <v>143</v>
      </c>
      <c r="F8" s="7">
        <v>30</v>
      </c>
      <c r="G8" s="17" t="str">
        <f>tbl_PutAway[[#This Row],[GR Number]]&amp;"-"&amp;tbl_PutAway[[#This Row],[GR Line]]</f>
        <v>GR-2026-0002-30</v>
      </c>
      <c r="H8" s="9" t="str">
        <f>_xlfn.XLOOKUP(tbl_PutAway[[#This Row],[GR Line Key (Helper)]],tbl_GoodsReceipt[GR Line Key (Helper)],tbl_GoodsReceipt[Material Code])</f>
        <v>MAT-00019</v>
      </c>
      <c r="I8" s="9" t="str">
        <f>_xlfn.XLOOKUP(tbl_PutAway[[#This Row],[Material Code]],tbl_GoodsReceipt[Material Code],tbl_GoodsReceipt[Material Description])</f>
        <v>Bearing 6205-2RS</v>
      </c>
      <c r="J8" s="9" t="str">
        <f>_xlfn.XLOOKUP(tbl_PutAway[[#This Row],[GR Line Key (Helper)]],tbl_GoodsReceipt[GR Line Key (Helper)],tbl_GoodsReceipt[Batch/Lot Number])</f>
        <v>LOT-BRG-260815</v>
      </c>
      <c r="K8" s="12">
        <f>_xlfn.XLOOKUP(tbl_PutAway[[#This Row],[GR Line Key (Helper)]],tbl_GoodsReceipt[GR Line Key (Helper)],tbl_GoodsReceipt[Accepted Qty])</f>
        <v>140</v>
      </c>
      <c r="L8" s="12" t="str">
        <f>_xlfn.XLOOKUP(tbl_PutAway[[#This Row],[GR Line Key (Helper)]],tbl_GoodsReceipt[GR Line Key (Helper)],tbl_GoodsReceipt[Purchase UoM])</f>
        <v>PCS</v>
      </c>
      <c r="M8" s="7">
        <v>140</v>
      </c>
      <c r="N8" s="12" t="str">
        <f>_xlfn.XLOOKUP(tbl_PutAway[[#This Row],[Material Code]],tbl_MasterMaterial[Material Code],tbl_MasterMaterial[Base UoM])</f>
        <v>PCS</v>
      </c>
      <c r="O8" s="9" t="str">
        <f>_xlfn.XLOOKUP(tbl_PutAway[[#This Row],[GR Line Key (Helper)]],tbl_GoodsReceipt[GR Line Key (Helper)],tbl_GoodsReceipt[Receiving Dock])</f>
        <v>E-01</v>
      </c>
      <c r="P8" s="62" t="str">
        <f>_xlfn.XLOOKUP(tbl_PutAway[[#This Row],[Material Code]],tbl_MasterMaterial[Material Code],tbl_MasterMaterial[Default Storage Location])</f>
        <v>A-01-02-02</v>
      </c>
      <c r="Q8" s="62" t="str">
        <f>_xlfn.XLOOKUP(tbl_PutAway[[#This Row],[Material Code]],tbl_MasterMaterial[Material Code],tbl_MasterMaterial[Storage/Handling Class])</f>
        <v>Standard</v>
      </c>
      <c r="R8" s="6" t="s">
        <v>252</v>
      </c>
      <c r="S8" s="9" t="str">
        <f>_xlfn.XLOOKUP(tbl_PutAway[[#This Row],[To Location]],tbl_MasterLocation[Location Code],tbl_MasterLocation[Storage/Handling Requirement])</f>
        <v>Standard</v>
      </c>
      <c r="T8" s="63" t="str">
        <f>IF(tbl_PutAway[[#This Row],[Location Storage/Handling Requirement]]=tbl_PutAway[[#This Row],[Storage/Handling Class]],"Match","Mismatch - Review")</f>
        <v>Match</v>
      </c>
      <c r="U8" s="16" t="str">
        <f>IF(tbl_PutAway[[#This Row],[Put Away Qty]]=0,"Pending", IF(tbl_PutAway[[#This Row],[Put Away Qty]]&lt;tbl_PutAway[[#This Row],[Accepted Qty]],"Partial","Completed"))</f>
        <v>Completed</v>
      </c>
      <c r="V8" s="6"/>
      <c r="W8" s="17" t="str">
        <f>tbl_PutAway[[#This Row],[Put Away Number]]&amp;"-"&amp;tbl_PutAway[[#This Row],[Put Away Line]]</f>
        <v>PA-2026-0002-30</v>
      </c>
    </row>
    <row r="9" spans="1:23" x14ac:dyDescent="0.25">
      <c r="A9" s="6" t="s">
        <v>152</v>
      </c>
      <c r="B9" s="7">
        <v>10</v>
      </c>
      <c r="C9" s="8">
        <v>46249</v>
      </c>
      <c r="D9" s="61">
        <f>_xlfn.XLOOKUP(tbl_PutAway[[#This Row],[GR Line Key (Helper)]],tbl_GoodsReceipt[GR Line Key (Helper)],tbl_GoodsReceipt[GR Date])</f>
        <v>46249</v>
      </c>
      <c r="E9" s="6" t="s">
        <v>144</v>
      </c>
      <c r="F9" s="7">
        <v>10</v>
      </c>
      <c r="G9" s="17" t="str">
        <f>tbl_PutAway[[#This Row],[GR Number]]&amp;"-"&amp;tbl_PutAway[[#This Row],[GR Line]]</f>
        <v>GR-2026-0003-10</v>
      </c>
      <c r="H9" s="9" t="str">
        <f>_xlfn.XLOOKUP(tbl_PutAway[[#This Row],[GR Line Key (Helper)]],tbl_GoodsReceipt[GR Line Key (Helper)],tbl_GoodsReceipt[Material Code])</f>
        <v>MAT-00009</v>
      </c>
      <c r="I9" s="9" t="str">
        <f>_xlfn.XLOOKUP(tbl_PutAway[[#This Row],[Material Code]],tbl_GoodsReceipt[Material Code],tbl_GoodsReceipt[Material Description])</f>
        <v>Grease Cartridge NLGI2 400g</v>
      </c>
      <c r="J9" s="9" t="str">
        <f>_xlfn.XLOOKUP(tbl_PutAway[[#This Row],[GR Line Key (Helper)]],tbl_GoodsReceipt[GR Line Key (Helper)],tbl_GoodsReceipt[Batch/Lot Number])</f>
        <v>LOT-LUB-260815</v>
      </c>
      <c r="K9" s="12">
        <f>_xlfn.XLOOKUP(tbl_PutAway[[#This Row],[GR Line Key (Helper)]],tbl_GoodsReceipt[GR Line Key (Helper)],tbl_GoodsReceipt[Accepted Qty])</f>
        <v>190</v>
      </c>
      <c r="L9" s="12" t="str">
        <f>_xlfn.XLOOKUP(tbl_PutAway[[#This Row],[GR Line Key (Helper)]],tbl_GoodsReceipt[GR Line Key (Helper)],tbl_GoodsReceipt[Purchase UoM])</f>
        <v>PCS</v>
      </c>
      <c r="M9" s="7">
        <v>190</v>
      </c>
      <c r="N9" s="12" t="str">
        <f>_xlfn.XLOOKUP(tbl_PutAway[[#This Row],[Material Code]],tbl_MasterMaterial[Material Code],tbl_MasterMaterial[Base UoM])</f>
        <v>PCS</v>
      </c>
      <c r="O9" s="9" t="str">
        <f>_xlfn.XLOOKUP(tbl_PutAway[[#This Row],[GR Line Key (Helper)]],tbl_GoodsReceipt[GR Line Key (Helper)],tbl_GoodsReceipt[Receiving Dock])</f>
        <v>E-01</v>
      </c>
      <c r="P9" s="62" t="str">
        <f>_xlfn.XLOOKUP(tbl_PutAway[[#This Row],[Material Code]],tbl_MasterMaterial[Material Code],tbl_MasterMaterial[Default Storage Location])</f>
        <v>D-02-01-03</v>
      </c>
      <c r="Q9" s="62" t="str">
        <f>_xlfn.XLOOKUP(tbl_PutAway[[#This Row],[Material Code]],tbl_MasterMaterial[Material Code],tbl_MasterMaterial[Storage/Handling Class])</f>
        <v>Hazardous</v>
      </c>
      <c r="R9" s="6" t="s">
        <v>470</v>
      </c>
      <c r="S9" s="9" t="str">
        <f>_xlfn.XLOOKUP(tbl_PutAway[[#This Row],[To Location]],tbl_MasterLocation[Location Code],tbl_MasterLocation[Storage/Handling Requirement])</f>
        <v>Hazardous</v>
      </c>
      <c r="T9" s="63" t="str">
        <f>IF(tbl_PutAway[[#This Row],[Location Storage/Handling Requirement]]=tbl_PutAway[[#This Row],[Storage/Handling Class]],"Match","Mismatch - Review")</f>
        <v>Match</v>
      </c>
      <c r="U9" s="16" t="str">
        <f>IF(tbl_PutAway[[#This Row],[Put Away Qty]]=0,"Pending", IF(tbl_PutAway[[#This Row],[Put Away Qty]]&lt;tbl_PutAway[[#This Row],[Accepted Qty]],"Partial","Completed"))</f>
        <v>Completed</v>
      </c>
      <c r="V9" s="6"/>
      <c r="W9" s="17" t="str">
        <f>tbl_PutAway[[#This Row],[Put Away Number]]&amp;"-"&amp;tbl_PutAway[[#This Row],[Put Away Line]]</f>
        <v>PA-2026-0003-10</v>
      </c>
    </row>
    <row r="10" spans="1:23" x14ac:dyDescent="0.25">
      <c r="A10" s="6" t="s">
        <v>152</v>
      </c>
      <c r="B10" s="7">
        <v>20</v>
      </c>
      <c r="C10" s="8">
        <v>46249</v>
      </c>
      <c r="D10" s="61">
        <f>_xlfn.XLOOKUP(tbl_PutAway[[#This Row],[GR Line Key (Helper)]],tbl_GoodsReceipt[GR Line Key (Helper)],tbl_GoodsReceipt[GR Date])</f>
        <v>46249</v>
      </c>
      <c r="E10" s="6" t="s">
        <v>144</v>
      </c>
      <c r="F10" s="7">
        <v>20</v>
      </c>
      <c r="G10" s="17" t="str">
        <f>tbl_PutAway[[#This Row],[GR Number]]&amp;"-"&amp;tbl_PutAway[[#This Row],[GR Line]]</f>
        <v>GR-2026-0003-20</v>
      </c>
      <c r="H10" s="9" t="str">
        <f>_xlfn.XLOOKUP(tbl_PutAway[[#This Row],[GR Line Key (Helper)]],tbl_GoodsReceipt[GR Line Key (Helper)],tbl_GoodsReceipt[Material Code])</f>
        <v>MAT-00013</v>
      </c>
      <c r="I10" s="9" t="str">
        <f>_xlfn.XLOOKUP(tbl_PutAway[[#This Row],[Material Code]],tbl_GoodsReceipt[Material Code],tbl_GoodsReceipt[Material Description])</f>
        <v>Radiator Coolant 20L</v>
      </c>
      <c r="J10" s="9" t="str">
        <f>_xlfn.XLOOKUP(tbl_PutAway[[#This Row],[GR Line Key (Helper)]],tbl_GoodsReceipt[GR Line Key (Helper)],tbl_GoodsReceipt[Batch/Lot Number])</f>
        <v>LOT-LUB-260815</v>
      </c>
      <c r="K10" s="12">
        <f>_xlfn.XLOOKUP(tbl_PutAway[[#This Row],[GR Line Key (Helper)]],tbl_GoodsReceipt[GR Line Key (Helper)],tbl_GoodsReceipt[Accepted Qty])</f>
        <v>120</v>
      </c>
      <c r="L10" s="12" t="str">
        <f>_xlfn.XLOOKUP(tbl_PutAway[[#This Row],[GR Line Key (Helper)]],tbl_GoodsReceipt[GR Line Key (Helper)],tbl_GoodsReceipt[Purchase UoM])</f>
        <v>LTR</v>
      </c>
      <c r="M10" s="7">
        <v>120</v>
      </c>
      <c r="N10" s="12" t="str">
        <f>_xlfn.XLOOKUP(tbl_PutAway[[#This Row],[Material Code]],tbl_MasterMaterial[Material Code],tbl_MasterMaterial[Base UoM])</f>
        <v>LTR</v>
      </c>
      <c r="O10" s="9" t="str">
        <f>_xlfn.XLOOKUP(tbl_PutAway[[#This Row],[GR Line Key (Helper)]],tbl_GoodsReceipt[GR Line Key (Helper)],tbl_GoodsReceipt[Receiving Dock])</f>
        <v>E-01</v>
      </c>
      <c r="P10" s="62" t="str">
        <f>_xlfn.XLOOKUP(tbl_PutAway[[#This Row],[Material Code]],tbl_MasterMaterial[Material Code],tbl_MasterMaterial[Default Storage Location])</f>
        <v>D-02-01-02</v>
      </c>
      <c r="Q10" s="62" t="str">
        <f>_xlfn.XLOOKUP(tbl_PutAway[[#This Row],[Material Code]],tbl_MasterMaterial[Material Code],tbl_MasterMaterial[Storage/Handling Class])</f>
        <v>Hazardous</v>
      </c>
      <c r="R10" s="6" t="s">
        <v>245</v>
      </c>
      <c r="S10" s="9" t="str">
        <f>_xlfn.XLOOKUP(tbl_PutAway[[#This Row],[To Location]],tbl_MasterLocation[Location Code],tbl_MasterLocation[Storage/Handling Requirement])</f>
        <v>Hazardous</v>
      </c>
      <c r="T10" s="63" t="str">
        <f>IF(tbl_PutAway[[#This Row],[Location Storage/Handling Requirement]]=tbl_PutAway[[#This Row],[Storage/Handling Class]],"Match","Mismatch - Review")</f>
        <v>Match</v>
      </c>
      <c r="U10" s="16" t="str">
        <f>IF(tbl_PutAway[[#This Row],[Put Away Qty]]=0,"Pending", IF(tbl_PutAway[[#This Row],[Put Away Qty]]&lt;tbl_PutAway[[#This Row],[Accepted Qty]],"Partial","Completed"))</f>
        <v>Completed</v>
      </c>
      <c r="V10" s="6"/>
      <c r="W10" s="17" t="str">
        <f>tbl_PutAway[[#This Row],[Put Away Number]]&amp;"-"&amp;tbl_PutAway[[#This Row],[Put Away Line]]</f>
        <v>PA-2026-0003-20</v>
      </c>
    </row>
    <row r="11" spans="1:23" x14ac:dyDescent="0.25">
      <c r="A11" s="6" t="s">
        <v>153</v>
      </c>
      <c r="B11" s="7">
        <v>10</v>
      </c>
      <c r="C11" s="8">
        <v>46251</v>
      </c>
      <c r="D11" s="61">
        <f>_xlfn.XLOOKUP(tbl_PutAway[[#This Row],[GR Line Key (Helper)]],tbl_GoodsReceipt[GR Line Key (Helper)],tbl_GoodsReceipt[GR Date])</f>
        <v>46251</v>
      </c>
      <c r="E11" s="6" t="s">
        <v>145</v>
      </c>
      <c r="F11" s="7">
        <v>10</v>
      </c>
      <c r="G11" s="17" t="str">
        <f>tbl_PutAway[[#This Row],[GR Number]]&amp;"-"&amp;tbl_PutAway[[#This Row],[GR Line]]</f>
        <v>GR-2026-0004-10</v>
      </c>
      <c r="H11" s="9" t="str">
        <f>_xlfn.XLOOKUP(tbl_PutAway[[#This Row],[GR Line Key (Helper)]],tbl_GoodsReceipt[GR Line Key (Helper)],tbl_GoodsReceipt[Material Code])</f>
        <v>MAT-00014</v>
      </c>
      <c r="I11" s="9" t="str">
        <f>_xlfn.XLOOKUP(tbl_PutAway[[#This Row],[Material Code]],tbl_GoodsReceipt[Material Code],tbl_GoodsReceipt[Material Description])</f>
        <v>Flat Washer M12 Zinc Plated</v>
      </c>
      <c r="J11" s="9" t="str">
        <f>_xlfn.XLOOKUP(tbl_PutAway[[#This Row],[GR Line Key (Helper)]],tbl_GoodsReceipt[GR Line Key (Helper)],tbl_GoodsReceipt[Batch/Lot Number])</f>
        <v>LOT-FST-260817</v>
      </c>
      <c r="K11" s="12">
        <f>_xlfn.XLOOKUP(tbl_PutAway[[#This Row],[GR Line Key (Helper)]],tbl_GoodsReceipt[GR Line Key (Helper)],tbl_GoodsReceipt[Accepted Qty])</f>
        <v>5000</v>
      </c>
      <c r="L11" s="12" t="str">
        <f>_xlfn.XLOOKUP(tbl_PutAway[[#This Row],[GR Line Key (Helper)]],tbl_GoodsReceipt[GR Line Key (Helper)],tbl_GoodsReceipt[Purchase UoM])</f>
        <v>PCS</v>
      </c>
      <c r="M11" s="7">
        <v>5000</v>
      </c>
      <c r="N11" s="12" t="str">
        <f>_xlfn.XLOOKUP(tbl_PutAway[[#This Row],[Material Code]],tbl_MasterMaterial[Material Code],tbl_MasterMaterial[Base UoM])</f>
        <v>PCS</v>
      </c>
      <c r="O11" s="9" t="str">
        <f>_xlfn.XLOOKUP(tbl_PutAway[[#This Row],[GR Line Key (Helper)]],tbl_GoodsReceipt[GR Line Key (Helper)],tbl_GoodsReceipt[Receiving Dock])</f>
        <v>E-02</v>
      </c>
      <c r="P11" s="62" t="str">
        <f>_xlfn.XLOOKUP(tbl_PutAway[[#This Row],[Material Code]],tbl_MasterMaterial[Material Code],tbl_MasterMaterial[Default Storage Location])</f>
        <v>D-01-01-02</v>
      </c>
      <c r="Q11" s="62" t="str">
        <f>_xlfn.XLOOKUP(tbl_PutAway[[#This Row],[Material Code]],tbl_MasterMaterial[Material Code],tbl_MasterMaterial[Storage/Handling Class])</f>
        <v>Standard</v>
      </c>
      <c r="R11" s="6" t="s">
        <v>248</v>
      </c>
      <c r="S11" s="9" t="str">
        <f>_xlfn.XLOOKUP(tbl_PutAway[[#This Row],[To Location]],tbl_MasterLocation[Location Code],tbl_MasterLocation[Storage/Handling Requirement])</f>
        <v>Standard</v>
      </c>
      <c r="T11" s="63" t="str">
        <f>IF(tbl_PutAway[[#This Row],[Location Storage/Handling Requirement]]=tbl_PutAway[[#This Row],[Storage/Handling Class]],"Match","Mismatch - Review")</f>
        <v>Match</v>
      </c>
      <c r="U11" s="16" t="str">
        <f>IF(tbl_PutAway[[#This Row],[Put Away Qty]]=0,"Pending", IF(tbl_PutAway[[#This Row],[Put Away Qty]]&lt;tbl_PutAway[[#This Row],[Accepted Qty]],"Partial","Completed"))</f>
        <v>Completed</v>
      </c>
      <c r="V11" s="6"/>
      <c r="W11" s="17" t="str">
        <f>tbl_PutAway[[#This Row],[Put Away Number]]&amp;"-"&amp;tbl_PutAway[[#This Row],[Put Away Line]]</f>
        <v>PA-2026-0004-10</v>
      </c>
    </row>
    <row r="12" spans="1:23" x14ac:dyDescent="0.25">
      <c r="A12" s="6" t="s">
        <v>381</v>
      </c>
      <c r="B12" s="7">
        <v>10</v>
      </c>
      <c r="C12" s="8">
        <v>46251</v>
      </c>
      <c r="D12" s="61">
        <f>_xlfn.XLOOKUP(tbl_PutAway[[#This Row],[GR Line Key (Helper)]],tbl_GoodsReceipt[GR Line Key (Helper)],tbl_GoodsReceipt[GR Date])</f>
        <v>46251</v>
      </c>
      <c r="E12" s="6" t="s">
        <v>321</v>
      </c>
      <c r="F12" s="7">
        <v>10</v>
      </c>
      <c r="G12" s="17" t="str">
        <f>tbl_PutAway[[#This Row],[GR Number]]&amp;"-"&amp;tbl_PutAway[[#This Row],[GR Line]]</f>
        <v>GR-2026-0005-10</v>
      </c>
      <c r="H12" s="9" t="str">
        <f>_xlfn.XLOOKUP(tbl_PutAway[[#This Row],[GR Line Key (Helper)]],tbl_GoodsReceipt[GR Line Key (Helper)],tbl_GoodsReceipt[Material Code])</f>
        <v>MAT-00005</v>
      </c>
      <c r="I12" s="9" t="str">
        <f>_xlfn.XLOOKUP(tbl_PutAway[[#This Row],[Material Code]],tbl_GoodsReceipt[Material Code],tbl_GoodsReceipt[Material Description])</f>
        <v>Industrial Degreaser 20L</v>
      </c>
      <c r="J12" s="9" t="str">
        <f>_xlfn.XLOOKUP(tbl_PutAway[[#This Row],[GR Line Key (Helper)]],tbl_GoodsReceipt[GR Line Key (Helper)],tbl_GoodsReceipt[Batch/Lot Number])</f>
        <v>LOT-CHM-260817</v>
      </c>
      <c r="K12" s="12">
        <f>_xlfn.XLOOKUP(tbl_PutAway[[#This Row],[GR Line Key (Helper)]],tbl_GoodsReceipt[GR Line Key (Helper)],tbl_GoodsReceipt[Accepted Qty])</f>
        <v>68</v>
      </c>
      <c r="L12" s="12" t="str">
        <f>_xlfn.XLOOKUP(tbl_PutAway[[#This Row],[GR Line Key (Helper)]],tbl_GoodsReceipt[GR Line Key (Helper)],tbl_GoodsReceipt[Purchase UoM])</f>
        <v>LTR</v>
      </c>
      <c r="M12" s="7">
        <v>68</v>
      </c>
      <c r="N12" s="12" t="str">
        <f>_xlfn.XLOOKUP(tbl_PutAway[[#This Row],[Material Code]],tbl_MasterMaterial[Material Code],tbl_MasterMaterial[Base UoM])</f>
        <v>LTR</v>
      </c>
      <c r="O12" s="9" t="str">
        <f>_xlfn.XLOOKUP(tbl_PutAway[[#This Row],[GR Line Key (Helper)]],tbl_GoodsReceipt[GR Line Key (Helper)],tbl_GoodsReceipt[Receiving Dock])</f>
        <v>E-02</v>
      </c>
      <c r="P12" s="62" t="str">
        <f>_xlfn.XLOOKUP(tbl_PutAway[[#This Row],[Material Code]],tbl_MasterMaterial[Material Code],tbl_MasterMaterial[Default Storage Location])</f>
        <v>D-02-01-01</v>
      </c>
      <c r="Q12" s="62" t="str">
        <f>_xlfn.XLOOKUP(tbl_PutAway[[#This Row],[Material Code]],tbl_MasterMaterial[Material Code],tbl_MasterMaterial[Storage/Handling Class])</f>
        <v>Hazardous</v>
      </c>
      <c r="R12" s="6" t="s">
        <v>241</v>
      </c>
      <c r="S12" s="9" t="str">
        <f>_xlfn.XLOOKUP(tbl_PutAway[[#This Row],[To Location]],tbl_MasterLocation[Location Code],tbl_MasterLocation[Storage/Handling Requirement])</f>
        <v>Hazardous</v>
      </c>
      <c r="T12" s="63" t="str">
        <f>IF(tbl_PutAway[[#This Row],[Location Storage/Handling Requirement]]=tbl_PutAway[[#This Row],[Storage/Handling Class]],"Match","Mismatch - Review")</f>
        <v>Match</v>
      </c>
      <c r="U12" s="16" t="str">
        <f>IF(tbl_PutAway[[#This Row],[Put Away Qty]]=0,"Pending", IF(tbl_PutAway[[#This Row],[Put Away Qty]]&lt;tbl_PutAway[[#This Row],[Accepted Qty]],"Partial","Completed"))</f>
        <v>Completed</v>
      </c>
      <c r="V12" s="6"/>
      <c r="W12" s="17" t="str">
        <f>tbl_PutAway[[#This Row],[Put Away Number]]&amp;"-"&amp;tbl_PutAway[[#This Row],[Put Away Line]]</f>
        <v>PA-2026-0005-10</v>
      </c>
    </row>
    <row r="13" spans="1:23" x14ac:dyDescent="0.25">
      <c r="A13" s="6" t="s">
        <v>382</v>
      </c>
      <c r="B13" s="7">
        <v>20</v>
      </c>
      <c r="C13" s="8">
        <v>46253</v>
      </c>
      <c r="D13" s="61">
        <f>_xlfn.XLOOKUP(tbl_PutAway[[#This Row],[GR Line Key (Helper)]],tbl_GoodsReceipt[GR Line Key (Helper)],tbl_GoodsReceipt[GR Date])</f>
        <v>46253</v>
      </c>
      <c r="E13" s="6" t="s">
        <v>323</v>
      </c>
      <c r="F13" s="7">
        <v>20</v>
      </c>
      <c r="G13" s="17" t="str">
        <f>tbl_PutAway[[#This Row],[GR Number]]&amp;"-"&amp;tbl_PutAway[[#This Row],[GR Line]]</f>
        <v>GR-2026-0006-20</v>
      </c>
      <c r="H13" s="9" t="str">
        <f>_xlfn.XLOOKUP(tbl_PutAway[[#This Row],[GR Line Key (Helper)]],tbl_GoodsReceipt[GR Line Key (Helper)],tbl_GoodsReceipt[Material Code])</f>
        <v>MAT-00018</v>
      </c>
      <c r="I13" s="9" t="str">
        <f>_xlfn.XLOOKUP(tbl_PutAway[[#This Row],[Material Code]],tbl_GoodsReceipt[Material Code],tbl_GoodsReceipt[Material Description])</f>
        <v>Cabin Air Filter</v>
      </c>
      <c r="J13" s="9" t="str">
        <f>_xlfn.XLOOKUP(tbl_PutAway[[#This Row],[GR Line Key (Helper)]],tbl_GoodsReceipt[GR Line Key (Helper)],tbl_GoodsReceipt[Batch/Lot Number])</f>
        <v>LOT-FLT-260819</v>
      </c>
      <c r="K13" s="12">
        <f>_xlfn.XLOOKUP(tbl_PutAway[[#This Row],[GR Line Key (Helper)]],tbl_GoodsReceipt[GR Line Key (Helper)],tbl_GoodsReceipt[Accepted Qty])</f>
        <v>90</v>
      </c>
      <c r="L13" s="12" t="str">
        <f>_xlfn.XLOOKUP(tbl_PutAway[[#This Row],[GR Line Key (Helper)]],tbl_GoodsReceipt[GR Line Key (Helper)],tbl_GoodsReceipt[Purchase UoM])</f>
        <v>PCS</v>
      </c>
      <c r="M13" s="7">
        <v>90</v>
      </c>
      <c r="N13" s="12" t="str">
        <f>_xlfn.XLOOKUP(tbl_PutAway[[#This Row],[Material Code]],tbl_MasterMaterial[Material Code],tbl_MasterMaterial[Base UoM])</f>
        <v>PCS</v>
      </c>
      <c r="O13" s="9" t="str">
        <f>_xlfn.XLOOKUP(tbl_PutAway[[#This Row],[GR Line Key (Helper)]],tbl_GoodsReceipt[GR Line Key (Helper)],tbl_GoodsReceipt[Receiving Dock])</f>
        <v>E-02</v>
      </c>
      <c r="P13" s="62" t="str">
        <f>_xlfn.XLOOKUP(tbl_PutAway[[#This Row],[Material Code]],tbl_MasterMaterial[Material Code],tbl_MasterMaterial[Default Storage Location])</f>
        <v>A-02-01-03</v>
      </c>
      <c r="Q13" s="62" t="str">
        <f>_xlfn.XLOOKUP(tbl_PutAway[[#This Row],[Material Code]],tbl_MasterMaterial[Material Code],tbl_MasterMaterial[Storage/Handling Class])</f>
        <v>Standard</v>
      </c>
      <c r="R13" s="6" t="s">
        <v>251</v>
      </c>
      <c r="S13" s="9" t="str">
        <f>_xlfn.XLOOKUP(tbl_PutAway[[#This Row],[To Location]],tbl_MasterLocation[Location Code],tbl_MasterLocation[Storage/Handling Requirement])</f>
        <v>Standard</v>
      </c>
      <c r="T13" s="63" t="str">
        <f>IF(tbl_PutAway[[#This Row],[Location Storage/Handling Requirement]]=tbl_PutAway[[#This Row],[Storage/Handling Class]],"Match","Mismatch - Review")</f>
        <v>Match</v>
      </c>
      <c r="U13" s="16" t="str">
        <f>IF(tbl_PutAway[[#This Row],[Put Away Qty]]=0,"Pending", IF(tbl_PutAway[[#This Row],[Put Away Qty]]&lt;tbl_PutAway[[#This Row],[Accepted Qty]],"Partial","Completed"))</f>
        <v>Completed</v>
      </c>
      <c r="V13" s="6"/>
      <c r="W13" s="17" t="str">
        <f>tbl_PutAway[[#This Row],[Put Away Number]]&amp;"-"&amp;tbl_PutAway[[#This Row],[Put Away Line]]</f>
        <v>PA-2026-0006-20</v>
      </c>
    </row>
    <row r="14" spans="1:23" x14ac:dyDescent="0.25">
      <c r="A14" s="6" t="s">
        <v>383</v>
      </c>
      <c r="B14" s="7">
        <v>10</v>
      </c>
      <c r="C14" s="8">
        <v>46259</v>
      </c>
      <c r="D14" s="61">
        <f>_xlfn.XLOOKUP(tbl_PutAway[[#This Row],[GR Line Key (Helper)]],tbl_GoodsReceipt[GR Line Key (Helper)],tbl_GoodsReceipt[GR Date])</f>
        <v>46259</v>
      </c>
      <c r="E14" s="6" t="s">
        <v>336</v>
      </c>
      <c r="F14" s="7">
        <v>10</v>
      </c>
      <c r="G14" s="17" t="str">
        <f>tbl_PutAway[[#This Row],[GR Number]]&amp;"-"&amp;tbl_PutAway[[#This Row],[GR Line]]</f>
        <v>GR-2026-0007-10</v>
      </c>
      <c r="H14" s="9" t="str">
        <f>_xlfn.XLOOKUP(tbl_PutAway[[#This Row],[GR Line Key (Helper)]],tbl_GoodsReceipt[GR Line Key (Helper)],tbl_GoodsReceipt[Material Code])</f>
        <v>MAT-00010</v>
      </c>
      <c r="I14" s="9" t="str">
        <f>_xlfn.XLOOKUP(tbl_PutAway[[#This Row],[Material Code]],tbl_GoodsReceipt[Material Code],tbl_GoodsReceipt[Material Description])</f>
        <v>Welding Electrode E7018 3.2mm</v>
      </c>
      <c r="J14" s="9" t="str">
        <f>_xlfn.XLOOKUP(tbl_PutAway[[#This Row],[GR Line Key (Helper)]],tbl_GoodsReceipt[GR Line Key (Helper)],tbl_GoodsReceipt[Batch/Lot Number])</f>
        <v>LOT-WLD-260825</v>
      </c>
      <c r="K14" s="12">
        <f>_xlfn.XLOOKUP(tbl_PutAway[[#This Row],[GR Line Key (Helper)]],tbl_GoodsReceipt[GR Line Key (Helper)],tbl_GoodsReceipt[Accepted Qty])</f>
        <v>290</v>
      </c>
      <c r="L14" s="12" t="str">
        <f>_xlfn.XLOOKUP(tbl_PutAway[[#This Row],[GR Line Key (Helper)]],tbl_GoodsReceipt[GR Line Key (Helper)],tbl_GoodsReceipt[Purchase UoM])</f>
        <v>KG</v>
      </c>
      <c r="M14" s="7">
        <v>290</v>
      </c>
      <c r="N14" s="12" t="str">
        <f>_xlfn.XLOOKUP(tbl_PutAway[[#This Row],[Material Code]],tbl_MasterMaterial[Material Code],tbl_MasterMaterial[Base UoM])</f>
        <v>KG</v>
      </c>
      <c r="O14" s="9" t="str">
        <f>_xlfn.XLOOKUP(tbl_PutAway[[#This Row],[GR Line Key (Helper)]],tbl_GoodsReceipt[GR Line Key (Helper)],tbl_GoodsReceipt[Receiving Dock])</f>
        <v>E-01</v>
      </c>
      <c r="P14" s="62" t="str">
        <f>_xlfn.XLOOKUP(tbl_PutAway[[#This Row],[Material Code]],tbl_MasterMaterial[Material Code],tbl_MasterMaterial[Default Storage Location])</f>
        <v>A-01-01-02</v>
      </c>
      <c r="Q14" s="62" t="str">
        <f>_xlfn.XLOOKUP(tbl_PutAway[[#This Row],[Material Code]],tbl_MasterMaterial[Material Code],tbl_MasterMaterial[Storage/Handling Class])</f>
        <v>Standard</v>
      </c>
      <c r="R14" s="6" t="s">
        <v>289</v>
      </c>
      <c r="S14" s="9" t="str">
        <f>_xlfn.XLOOKUP(tbl_PutAway[[#This Row],[To Location]],tbl_MasterLocation[Location Code],tbl_MasterLocation[Storage/Handling Requirement])</f>
        <v>Standard</v>
      </c>
      <c r="T14" s="63" t="str">
        <f>IF(tbl_PutAway[[#This Row],[Location Storage/Handling Requirement]]=tbl_PutAway[[#This Row],[Storage/Handling Class]],"Match","Mismatch - Review")</f>
        <v>Match</v>
      </c>
      <c r="U14" s="16" t="str">
        <f>IF(tbl_PutAway[[#This Row],[Put Away Qty]]=0,"Pending", IF(tbl_PutAway[[#This Row],[Put Away Qty]]&lt;tbl_PutAway[[#This Row],[Accepted Qty]],"Partial","Completed"))</f>
        <v>Completed</v>
      </c>
      <c r="V14" s="6"/>
      <c r="W14" s="17" t="str">
        <f>tbl_PutAway[[#This Row],[Put Away Number]]&amp;"-"&amp;tbl_PutAway[[#This Row],[Put Away Line]]</f>
        <v>PA-2026-0007-10</v>
      </c>
    </row>
    <row r="15" spans="1:23" x14ac:dyDescent="0.25">
      <c r="A15" s="6" t="s">
        <v>384</v>
      </c>
      <c r="B15" s="7">
        <v>10</v>
      </c>
      <c r="C15" s="8">
        <v>46260</v>
      </c>
      <c r="D15" s="61">
        <f>_xlfn.XLOOKUP(tbl_PutAway[[#This Row],[GR Line Key (Helper)]],tbl_GoodsReceipt[GR Line Key (Helper)],tbl_GoodsReceipt[GR Date])</f>
        <v>46260</v>
      </c>
      <c r="E15" s="6" t="s">
        <v>340</v>
      </c>
      <c r="F15" s="7">
        <v>10</v>
      </c>
      <c r="G15" s="17" t="str">
        <f>tbl_PutAway[[#This Row],[GR Number]]&amp;"-"&amp;tbl_PutAway[[#This Row],[GR Line]]</f>
        <v>GR-2026-0008-10</v>
      </c>
      <c r="H15" s="9" t="str">
        <f>_xlfn.XLOOKUP(tbl_PutAway[[#This Row],[GR Line Key (Helper)]],tbl_GoodsReceipt[GR Line Key (Helper)],tbl_GoodsReceipt[Material Code])</f>
        <v>MAT-00002</v>
      </c>
      <c r="I15" s="9" t="str">
        <f>_xlfn.XLOOKUP(tbl_PutAway[[#This Row],[Material Code]],tbl_GoodsReceipt[Material Code],tbl_GoodsReceipt[Material Description])</f>
        <v>Steel Plate 10mm x 2m x 1m</v>
      </c>
      <c r="J15" s="9" t="str">
        <f>_xlfn.XLOOKUP(tbl_PutAway[[#This Row],[GR Line Key (Helper)]],tbl_GoodsReceipt[GR Line Key (Helper)],tbl_GoodsReceipt[Batch/Lot Number])</f>
        <v>LOT-STEEL-260830</v>
      </c>
      <c r="K15" s="12">
        <f>_xlfn.XLOOKUP(tbl_PutAway[[#This Row],[GR Line Key (Helper)]],tbl_GoodsReceipt[GR Line Key (Helper)],tbl_GoodsReceipt[Accepted Qty])</f>
        <v>60</v>
      </c>
      <c r="L15" s="12" t="str">
        <f>_xlfn.XLOOKUP(tbl_PutAway[[#This Row],[GR Line Key (Helper)]],tbl_GoodsReceipt[GR Line Key (Helper)],tbl_GoodsReceipt[Purchase UoM])</f>
        <v>PCS</v>
      </c>
      <c r="M15" s="7">
        <v>60</v>
      </c>
      <c r="N15" s="12" t="str">
        <f>_xlfn.XLOOKUP(tbl_PutAway[[#This Row],[Material Code]],tbl_MasterMaterial[Material Code],tbl_MasterMaterial[Base UoM])</f>
        <v>PCS</v>
      </c>
      <c r="O15" s="9" t="str">
        <f>_xlfn.XLOOKUP(tbl_PutAway[[#This Row],[GR Line Key (Helper)]],tbl_GoodsReceipt[GR Line Key (Helper)],tbl_GoodsReceipt[Receiving Dock])</f>
        <v>E-01</v>
      </c>
      <c r="P15" s="62" t="str">
        <f>_xlfn.XLOOKUP(tbl_PutAway[[#This Row],[Material Code]],tbl_MasterMaterial[Material Code],tbl_MasterMaterial[Default Storage Location])</f>
        <v>C-01-01</v>
      </c>
      <c r="Q15" s="62" t="str">
        <f>_xlfn.XLOOKUP(tbl_PutAway[[#This Row],[Material Code]],tbl_MasterMaterial[Material Code],tbl_MasterMaterial[Storage/Handling Class])</f>
        <v>Heavy/Bulk</v>
      </c>
      <c r="R15" s="6" t="s">
        <v>347</v>
      </c>
      <c r="S15" s="9" t="str">
        <f>_xlfn.XLOOKUP(tbl_PutAway[[#This Row],[To Location]],tbl_MasterLocation[Location Code],tbl_MasterLocation[Storage/Handling Requirement])</f>
        <v>Heavy/Bulk</v>
      </c>
      <c r="T15" s="63" t="str">
        <f>IF(tbl_PutAway[[#This Row],[Location Storage/Handling Requirement]]=tbl_PutAway[[#This Row],[Storage/Handling Class]],"Match","Mismatch - Review")</f>
        <v>Match</v>
      </c>
      <c r="U15" s="16" t="str">
        <f>IF(tbl_PutAway[[#This Row],[Put Away Qty]]=0,"Pending", IF(tbl_PutAway[[#This Row],[Put Away Qty]]&lt;tbl_PutAway[[#This Row],[Accepted Qty]],"Partial","Completed"))</f>
        <v>Completed</v>
      </c>
      <c r="V15" s="6"/>
      <c r="W15" s="17" t="str">
        <f>tbl_PutAway[[#This Row],[Put Away Number]]&amp;"-"&amp;tbl_PutAway[[#This Row],[Put Away Line]]</f>
        <v>PA-2026-0008-10</v>
      </c>
    </row>
    <row r="16" spans="1:23" x14ac:dyDescent="0.25">
      <c r="A16" s="6" t="s">
        <v>384</v>
      </c>
      <c r="B16" s="7">
        <v>20</v>
      </c>
      <c r="C16" s="8">
        <v>46260</v>
      </c>
      <c r="D16" s="61">
        <f>_xlfn.XLOOKUP(tbl_PutAway[[#This Row],[GR Line Key (Helper)]],tbl_GoodsReceipt[GR Line Key (Helper)],tbl_GoodsReceipt[GR Date])</f>
        <v>46260</v>
      </c>
      <c r="E16" s="6" t="s">
        <v>340</v>
      </c>
      <c r="F16" s="7">
        <v>20</v>
      </c>
      <c r="G16" s="17" t="str">
        <f>tbl_PutAway[[#This Row],[GR Number]]&amp;"-"&amp;tbl_PutAway[[#This Row],[GR Line]]</f>
        <v>GR-2026-0008-20</v>
      </c>
      <c r="H16" s="9" t="str">
        <f>_xlfn.XLOOKUP(tbl_PutAway[[#This Row],[GR Line Key (Helper)]],tbl_GoodsReceipt[GR Line Key (Helper)],tbl_GoodsReceipt[Material Code])</f>
        <v>MAT-00004</v>
      </c>
      <c r="I16" s="9" t="str">
        <f>_xlfn.XLOOKUP(tbl_PutAway[[#This Row],[Material Code]],tbl_GoodsReceipt[Material Code],tbl_GoodsReceipt[Material Description])</f>
        <v>Hex Bolt M12x50 Grade 8.8</v>
      </c>
      <c r="J16" s="9" t="str">
        <f>_xlfn.XLOOKUP(tbl_PutAway[[#This Row],[GR Line Key (Helper)]],tbl_GoodsReceipt[GR Line Key (Helper)],tbl_GoodsReceipt[Batch/Lot Number])</f>
        <v>LOT-BOLT-260830</v>
      </c>
      <c r="K16" s="12">
        <f>_xlfn.XLOOKUP(tbl_PutAway[[#This Row],[GR Line Key (Helper)]],tbl_GoodsReceipt[GR Line Key (Helper)],tbl_GoodsReceipt[Accepted Qty])</f>
        <v>2500</v>
      </c>
      <c r="L16" s="12" t="str">
        <f>_xlfn.XLOOKUP(tbl_PutAway[[#This Row],[GR Line Key (Helper)]],tbl_GoodsReceipt[GR Line Key (Helper)],tbl_GoodsReceipt[Purchase UoM])</f>
        <v>PCS</v>
      </c>
      <c r="M16" s="7">
        <v>2500</v>
      </c>
      <c r="N16" s="12" t="str">
        <f>_xlfn.XLOOKUP(tbl_PutAway[[#This Row],[Material Code]],tbl_MasterMaterial[Material Code],tbl_MasterMaterial[Base UoM])</f>
        <v>PCS</v>
      </c>
      <c r="O16" s="9" t="str">
        <f>_xlfn.XLOOKUP(tbl_PutAway[[#This Row],[GR Line Key (Helper)]],tbl_GoodsReceipt[GR Line Key (Helper)],tbl_GoodsReceipt[Receiving Dock])</f>
        <v>E-01</v>
      </c>
      <c r="P16" s="62" t="str">
        <f>_xlfn.XLOOKUP(tbl_PutAway[[#This Row],[Material Code]],tbl_MasterMaterial[Material Code],tbl_MasterMaterial[Default Storage Location])</f>
        <v>D-01-01-01</v>
      </c>
      <c r="Q16" s="62" t="str">
        <f>_xlfn.XLOOKUP(tbl_PutAway[[#This Row],[Material Code]],tbl_MasterMaterial[Material Code],tbl_MasterMaterial[Storage/Handling Class])</f>
        <v>Standard</v>
      </c>
      <c r="R16" s="6" t="s">
        <v>240</v>
      </c>
      <c r="S16" s="9" t="str">
        <f>_xlfn.XLOOKUP(tbl_PutAway[[#This Row],[To Location]],tbl_MasterLocation[Location Code],tbl_MasterLocation[Storage/Handling Requirement])</f>
        <v>Standard</v>
      </c>
      <c r="T16" s="63" t="str">
        <f>IF(tbl_PutAway[[#This Row],[Location Storage/Handling Requirement]]=tbl_PutAway[[#This Row],[Storage/Handling Class]],"Match","Mismatch - Review")</f>
        <v>Match</v>
      </c>
      <c r="U16" s="16" t="str">
        <f>IF(tbl_PutAway[[#This Row],[Put Away Qty]]=0,"Pending", IF(tbl_PutAway[[#This Row],[Put Away Qty]]&lt;tbl_PutAway[[#This Row],[Accepted Qty]],"Partial","Completed"))</f>
        <v>Completed</v>
      </c>
      <c r="V16" s="6"/>
      <c r="W16" s="17" t="str">
        <f>tbl_PutAway[[#This Row],[Put Away Number]]&amp;"-"&amp;tbl_PutAway[[#This Row],[Put Away Line]]</f>
        <v>PA-2026-0008-20</v>
      </c>
    </row>
    <row r="17" spans="1:23" x14ac:dyDescent="0.25">
      <c r="A17" s="6" t="s">
        <v>385</v>
      </c>
      <c r="B17" s="7">
        <v>10</v>
      </c>
      <c r="C17" s="8">
        <v>46274</v>
      </c>
      <c r="D17" s="61">
        <f>_xlfn.XLOOKUP(tbl_PutAway[[#This Row],[GR Line Key (Helper)]],tbl_GoodsReceipt[GR Line Key (Helper)],tbl_GoodsReceipt[GR Date])</f>
        <v>46273</v>
      </c>
      <c r="E17" s="6" t="s">
        <v>345</v>
      </c>
      <c r="F17" s="7">
        <v>10</v>
      </c>
      <c r="G17" s="17" t="str">
        <f>tbl_PutAway[[#This Row],[GR Number]]&amp;"-"&amp;tbl_PutAway[[#This Row],[GR Line]]</f>
        <v>GR-2026-0009-10</v>
      </c>
      <c r="H17" s="9" t="str">
        <f>_xlfn.XLOOKUP(tbl_PutAway[[#This Row],[GR Line Key (Helper)]],tbl_GoodsReceipt[GR Line Key (Helper)],tbl_GoodsReceipt[Material Code])</f>
        <v>MAT-00017</v>
      </c>
      <c r="I17" s="9" t="str">
        <f>_xlfn.XLOOKUP(tbl_PutAway[[#This Row],[Material Code]],tbl_GoodsReceipt[Material Code],tbl_GoodsReceipt[Material Description])</f>
        <v>Steel I-Beam 6m Length</v>
      </c>
      <c r="J17" s="9" t="str">
        <f>_xlfn.XLOOKUP(tbl_PutAway[[#This Row],[GR Line Key (Helper)]],tbl_GoodsReceipt[GR Line Key (Helper)],tbl_GoodsReceipt[Batch/Lot Number])</f>
        <v>LOT-STL-260908</v>
      </c>
      <c r="K17" s="12">
        <f>_xlfn.XLOOKUP(tbl_PutAway[[#This Row],[GR Line Key (Helper)]],tbl_GoodsReceipt[GR Line Key (Helper)],tbl_GoodsReceipt[Accepted Qty])</f>
        <v>50</v>
      </c>
      <c r="L17" s="12" t="str">
        <f>_xlfn.XLOOKUP(tbl_PutAway[[#This Row],[GR Line Key (Helper)]],tbl_GoodsReceipt[GR Line Key (Helper)],tbl_GoodsReceipt[Purchase UoM])</f>
        <v>PCS</v>
      </c>
      <c r="M17" s="7">
        <v>45</v>
      </c>
      <c r="N17" s="12" t="str">
        <f>_xlfn.XLOOKUP(tbl_PutAway[[#This Row],[Material Code]],tbl_MasterMaterial[Material Code],tbl_MasterMaterial[Base UoM])</f>
        <v>PCS</v>
      </c>
      <c r="O17" s="9" t="str">
        <f>_xlfn.XLOOKUP(tbl_PutAway[[#This Row],[GR Line Key (Helper)]],tbl_GoodsReceipt[GR Line Key (Helper)],tbl_GoodsReceipt[Receiving Dock])</f>
        <v>E-01</v>
      </c>
      <c r="P17" s="62" t="str">
        <f>_xlfn.XLOOKUP(tbl_PutAway[[#This Row],[Material Code]],tbl_MasterMaterial[Material Code],tbl_MasterMaterial[Default Storage Location])</f>
        <v>C-01-02</v>
      </c>
      <c r="Q17" s="62" t="str">
        <f>_xlfn.XLOOKUP(tbl_PutAway[[#This Row],[Material Code]],tbl_MasterMaterial[Material Code],tbl_MasterMaterial[Storage/Handling Class])</f>
        <v>Heavy/Bulk</v>
      </c>
      <c r="R17" s="6" t="s">
        <v>348</v>
      </c>
      <c r="S17" s="9" t="str">
        <f>_xlfn.XLOOKUP(tbl_PutAway[[#This Row],[To Location]],tbl_MasterLocation[Location Code],tbl_MasterLocation[Storage/Handling Requirement])</f>
        <v>Heavy/Bulk</v>
      </c>
      <c r="T17" s="63" t="str">
        <f>IF(tbl_PutAway[[#This Row],[Location Storage/Handling Requirement]]=tbl_PutAway[[#This Row],[Storage/Handling Class]],"Match","Mismatch - Review")</f>
        <v>Match</v>
      </c>
      <c r="U17" s="16" t="str">
        <f>IF(tbl_PutAway[[#This Row],[Put Away Qty]]=0,"Pending", IF(tbl_PutAway[[#This Row],[Put Away Qty]]&lt;tbl_PutAway[[#This Row],[Accepted Qty]],"Partial","Completed"))</f>
        <v>Partial</v>
      </c>
      <c r="V17" s="6" t="s">
        <v>395</v>
      </c>
      <c r="W17" s="17" t="str">
        <f>tbl_PutAway[[#This Row],[Put Away Number]]&amp;"-"&amp;tbl_PutAway[[#This Row],[Put Away Line]]</f>
        <v>PA-2026-0009-10</v>
      </c>
    </row>
    <row r="18" spans="1:23" x14ac:dyDescent="0.25">
      <c r="A18" s="6" t="s">
        <v>459</v>
      </c>
      <c r="B18" s="7">
        <v>10</v>
      </c>
      <c r="C18" s="8">
        <v>46275</v>
      </c>
      <c r="D18" s="82">
        <f>_xlfn.XLOOKUP(tbl_PutAway[[#This Row],[GR Line Key (Helper)]],tbl_GoodsReceipt[GR Line Key (Helper)],tbl_GoodsReceipt[GR Date])</f>
        <v>46275</v>
      </c>
      <c r="E18" s="6" t="s">
        <v>343</v>
      </c>
      <c r="F18" s="7">
        <v>10</v>
      </c>
      <c r="G18" s="17" t="str">
        <f>tbl_PutAway[[#This Row],[GR Number]]&amp;"-"&amp;tbl_PutAway[[#This Row],[GR Line]]</f>
        <v>GR-2026-0010-10</v>
      </c>
      <c r="H18" s="9" t="str">
        <f>_xlfn.XLOOKUP(tbl_PutAway[[#This Row],[GR Line Key (Helper)]],tbl_GoodsReceipt[GR Line Key (Helper)],tbl_GoodsReceipt[Material Code])</f>
        <v>MAT-00012</v>
      </c>
      <c r="I18" s="75" t="str">
        <f>_xlfn.XLOOKUP(tbl_PutAway[[#This Row],[Material Code]],tbl_GoodsReceipt[Material Code],tbl_GoodsReceipt[Material Description])</f>
        <v>Bucket Teeth (CAT style)</v>
      </c>
      <c r="J18" s="75" t="str">
        <f>_xlfn.XLOOKUP(tbl_PutAway[[#This Row],[GR Line Key (Helper)]],tbl_GoodsReceipt[GR Line Key (Helper)],tbl_GoodsReceipt[Batch/Lot Number])</f>
        <v>LOT-TEETH-260910</v>
      </c>
      <c r="K18" s="12">
        <f>_xlfn.XLOOKUP(tbl_PutAway[[#This Row],[GR Line Key (Helper)]],tbl_GoodsReceipt[GR Line Key (Helper)],tbl_GoodsReceipt[Accepted Qty])</f>
        <v>60</v>
      </c>
      <c r="L18" s="12" t="str">
        <f>_xlfn.XLOOKUP(tbl_PutAway[[#This Row],[GR Line Key (Helper)]],tbl_GoodsReceipt[GR Line Key (Helper)],tbl_GoodsReceipt[Purchase UoM])</f>
        <v>PCS</v>
      </c>
      <c r="M18" s="11">
        <v>60</v>
      </c>
      <c r="N18" s="12" t="str">
        <f>_xlfn.XLOOKUP(tbl_PutAway[[#This Row],[Material Code]],tbl_MasterMaterial[Material Code],tbl_MasterMaterial[Base UoM])</f>
        <v>PCS</v>
      </c>
      <c r="O18" s="9" t="str">
        <f>_xlfn.XLOOKUP(tbl_PutAway[[#This Row],[GR Line Key (Helper)]],tbl_GoodsReceipt[GR Line Key (Helper)],tbl_GoodsReceipt[Receiving Dock])</f>
        <v>E-02</v>
      </c>
      <c r="P18" s="83" t="str">
        <f>_xlfn.XLOOKUP(tbl_PutAway[[#This Row],[Material Code]],tbl_MasterMaterial[Material Code],tbl_MasterMaterial[Default Storage Location])</f>
        <v>B-02-01-01</v>
      </c>
      <c r="Q18" s="84" t="str">
        <f>_xlfn.XLOOKUP(tbl_PutAway[[#This Row],[Material Code]],tbl_MasterMaterial[Material Code],tbl_MasterMaterial[Storage/Handling Class])</f>
        <v>Heavy/Bulk</v>
      </c>
      <c r="R18" s="6" t="s">
        <v>247</v>
      </c>
      <c r="S18" s="75" t="str">
        <f>_xlfn.XLOOKUP(tbl_PutAway[[#This Row],[To Location]],tbl_MasterLocation[Location Code],tbl_MasterLocation[Storage/Handling Requirement])</f>
        <v>Heavy/Bulk</v>
      </c>
      <c r="T18" s="85" t="str">
        <f>IF(tbl_PutAway[[#This Row],[Location Storage/Handling Requirement]]=tbl_PutAway[[#This Row],[Storage/Handling Class]],"Match","Mismatch - Review")</f>
        <v>Match</v>
      </c>
      <c r="U18" s="16" t="str">
        <f>IF(tbl_PutAway[[#This Row],[Put Away Qty]]=0,"Pending", IF(tbl_PutAway[[#This Row],[Put Away Qty]]&lt;tbl_PutAway[[#This Row],[Accepted Qty]],"Partial","Completed"))</f>
        <v>Completed</v>
      </c>
      <c r="V18" s="6"/>
      <c r="W18" s="17" t="str">
        <f>tbl_PutAway[[#This Row],[Put Away Number]]&amp;"-"&amp;tbl_PutAway[[#This Row],[Put Away Line]]</f>
        <v>PA-2026-0010-10</v>
      </c>
    </row>
    <row r="19" spans="1:23" x14ac:dyDescent="0.25">
      <c r="A19" s="6" t="s">
        <v>460</v>
      </c>
      <c r="B19" s="7">
        <v>10</v>
      </c>
      <c r="C19" s="8">
        <v>46276</v>
      </c>
      <c r="D19" s="82">
        <f>_xlfn.XLOOKUP(tbl_PutAway[[#This Row],[GR Line Key (Helper)]],tbl_GoodsReceipt[GR Line Key (Helper)],tbl_GoodsReceipt[GR Date])</f>
        <v>46276</v>
      </c>
      <c r="E19" s="6" t="s">
        <v>451</v>
      </c>
      <c r="F19" s="7">
        <v>10</v>
      </c>
      <c r="G19" s="17" t="str">
        <f>tbl_PutAway[[#This Row],[GR Number]]&amp;"-"&amp;tbl_PutAway[[#This Row],[GR Line]]</f>
        <v>GR-2026-0011-10</v>
      </c>
      <c r="H19" s="9" t="str">
        <f>_xlfn.XLOOKUP(tbl_PutAway[[#This Row],[GR Line Key (Helper)]],tbl_GoodsReceipt[GR Line Key (Helper)],tbl_GoodsReceipt[Material Code])</f>
        <v>MAT-00006</v>
      </c>
      <c r="I19" s="75" t="str">
        <f>_xlfn.XLOOKUP(tbl_PutAway[[#This Row],[Material Code]],tbl_GoodsReceipt[Material Code],tbl_GoodsReceipt[Material Description])</f>
        <v>Track Roller Assembly</v>
      </c>
      <c r="J19" s="75" t="str">
        <f>_xlfn.XLOOKUP(tbl_PutAway[[#This Row],[GR Line Key (Helper)]],tbl_GoodsReceipt[GR Line Key (Helper)],tbl_GoodsReceipt[Batch/Lot Number])</f>
        <v>LOT-ROLLR-260918</v>
      </c>
      <c r="K19" s="12">
        <f>_xlfn.XLOOKUP(tbl_PutAway[[#This Row],[GR Line Key (Helper)]],tbl_GoodsReceipt[GR Line Key (Helper)],tbl_GoodsReceipt[Accepted Qty])</f>
        <v>43</v>
      </c>
      <c r="L19" s="12" t="str">
        <f>_xlfn.XLOOKUP(tbl_PutAway[[#This Row],[GR Line Key (Helper)]],tbl_GoodsReceipt[GR Line Key (Helper)],tbl_GoodsReceipt[Purchase UoM])</f>
        <v>PCS</v>
      </c>
      <c r="M19" s="11">
        <v>43</v>
      </c>
      <c r="N19" s="12" t="str">
        <f>_xlfn.XLOOKUP(tbl_PutAway[[#This Row],[Material Code]],tbl_MasterMaterial[Material Code],tbl_MasterMaterial[Base UoM])</f>
        <v>PCS</v>
      </c>
      <c r="O19" s="9" t="str">
        <f>_xlfn.XLOOKUP(tbl_PutAway[[#This Row],[GR Line Key (Helper)]],tbl_GoodsReceipt[GR Line Key (Helper)],tbl_GoodsReceipt[Receiving Dock])</f>
        <v>E-01</v>
      </c>
      <c r="P19" s="83" t="str">
        <f>_xlfn.XLOOKUP(tbl_PutAway[[#This Row],[Material Code]],tbl_MasterMaterial[Material Code],tbl_MasterMaterial[Default Storage Location])</f>
        <v>B-01-01-01</v>
      </c>
      <c r="Q19" s="84" t="str">
        <f>_xlfn.XLOOKUP(tbl_PutAway[[#This Row],[Material Code]],tbl_MasterMaterial[Material Code],tbl_MasterMaterial[Storage/Handling Class])</f>
        <v>Heavy/Bulk</v>
      </c>
      <c r="R19" s="6" t="s">
        <v>242</v>
      </c>
      <c r="S19" s="75" t="str">
        <f>_xlfn.XLOOKUP(tbl_PutAway[[#This Row],[To Location]],tbl_MasterLocation[Location Code],tbl_MasterLocation[Storage/Handling Requirement])</f>
        <v>Heavy/Bulk</v>
      </c>
      <c r="T19" s="85" t="str">
        <f>IF(tbl_PutAway[[#This Row],[Location Storage/Handling Requirement]]=tbl_PutAway[[#This Row],[Storage/Handling Class]],"Match","Mismatch - Review")</f>
        <v>Match</v>
      </c>
      <c r="U19" s="16" t="str">
        <f>IF(tbl_PutAway[[#This Row],[Put Away Qty]]=0,"Pending", IF(tbl_PutAway[[#This Row],[Put Away Qty]]&lt;tbl_PutAway[[#This Row],[Accepted Qty]],"Partial","Completed"))</f>
        <v>Completed</v>
      </c>
      <c r="V19" s="6"/>
      <c r="W19" s="17" t="str">
        <f>tbl_PutAway[[#This Row],[Put Away Number]]&amp;"-"&amp;tbl_PutAway[[#This Row],[Put Away Line]]</f>
        <v>PA-2026-0011-10</v>
      </c>
    </row>
    <row r="20" spans="1:23" x14ac:dyDescent="0.25">
      <c r="A20" s="6" t="s">
        <v>461</v>
      </c>
      <c r="B20" s="7">
        <v>10</v>
      </c>
      <c r="C20" s="8">
        <v>46283</v>
      </c>
      <c r="D20" s="82">
        <f>_xlfn.XLOOKUP(tbl_PutAway[[#This Row],[GR Line Key (Helper)]],tbl_GoodsReceipt[GR Line Key (Helper)],tbl_GoodsReceipt[GR Date])</f>
        <v>46282</v>
      </c>
      <c r="E20" s="6" t="s">
        <v>452</v>
      </c>
      <c r="F20" s="7">
        <v>10</v>
      </c>
      <c r="G20" s="17" t="str">
        <f>tbl_PutAway[[#This Row],[GR Number]]&amp;"-"&amp;tbl_PutAway[[#This Row],[GR Line]]</f>
        <v>GR-2026-0012-10</v>
      </c>
      <c r="H20" s="9" t="str">
        <f>_xlfn.XLOOKUP(tbl_PutAway[[#This Row],[GR Line Key (Helper)]],tbl_GoodsReceipt[GR Line Key (Helper)],tbl_GoodsReceipt[Material Code])</f>
        <v>MAT-00015</v>
      </c>
      <c r="I20" s="75" t="str">
        <f>_xlfn.XLOOKUP(tbl_PutAway[[#This Row],[Material Code]],tbl_GoodsReceipt[Material Code],tbl_GoodsReceipt[Material Description])</f>
        <v>Turbocharger Assembly (Cat C15)</v>
      </c>
      <c r="J20" s="75" t="str">
        <f>_xlfn.XLOOKUP(tbl_PutAway[[#This Row],[GR Line Key (Helper)]],tbl_GoodsReceipt[GR Line Key (Helper)],tbl_GoodsReceipt[Batch/Lot Number])</f>
        <v>LOT-TRB--260924</v>
      </c>
      <c r="K20" s="12">
        <f>_xlfn.XLOOKUP(tbl_PutAway[[#This Row],[GR Line Key (Helper)]],tbl_GoodsReceipt[GR Line Key (Helper)],tbl_GoodsReceipt[Accepted Qty])</f>
        <v>30</v>
      </c>
      <c r="L20" s="12" t="str">
        <f>_xlfn.XLOOKUP(tbl_PutAway[[#This Row],[GR Line Key (Helper)]],tbl_GoodsReceipt[GR Line Key (Helper)],tbl_GoodsReceipt[Purchase UoM])</f>
        <v>PCS</v>
      </c>
      <c r="M20" s="11">
        <v>30</v>
      </c>
      <c r="N20" s="12" t="str">
        <f>_xlfn.XLOOKUP(tbl_PutAway[[#This Row],[Material Code]],tbl_MasterMaterial[Material Code],tbl_MasterMaterial[Base UoM])</f>
        <v>PCS</v>
      </c>
      <c r="O20" s="9" t="str">
        <f>_xlfn.XLOOKUP(tbl_PutAway[[#This Row],[GR Line Key (Helper)]],tbl_GoodsReceipt[GR Line Key (Helper)],tbl_GoodsReceipt[Receiving Dock])</f>
        <v>E-02</v>
      </c>
      <c r="P20" s="83" t="str">
        <f>_xlfn.XLOOKUP(tbl_PutAway[[#This Row],[Material Code]],tbl_MasterMaterial[Material Code],tbl_MasterMaterial[Default Storage Location])</f>
        <v>B-01-01-02</v>
      </c>
      <c r="Q20" s="84" t="str">
        <f>_xlfn.XLOOKUP(tbl_PutAway[[#This Row],[Material Code]],tbl_MasterMaterial[Material Code],tbl_MasterMaterial[Storage/Handling Class])</f>
        <v>Heavy/Bulk</v>
      </c>
      <c r="R20" s="6" t="s">
        <v>387</v>
      </c>
      <c r="S20" s="75" t="str">
        <f>_xlfn.XLOOKUP(tbl_PutAway[[#This Row],[To Location]],tbl_MasterLocation[Location Code],tbl_MasterLocation[Storage/Handling Requirement])</f>
        <v>Heavy/Bulk</v>
      </c>
      <c r="T20" s="85" t="str">
        <f>IF(tbl_PutAway[[#This Row],[Location Storage/Handling Requirement]]=tbl_PutAway[[#This Row],[Storage/Handling Class]],"Match","Mismatch - Review")</f>
        <v>Match</v>
      </c>
      <c r="U20" s="16" t="str">
        <f>IF(tbl_PutAway[[#This Row],[Put Away Qty]]=0,"Pending", IF(tbl_PutAway[[#This Row],[Put Away Qty]]&lt;tbl_PutAway[[#This Row],[Accepted Qty]],"Partial","Completed"))</f>
        <v>Completed</v>
      </c>
      <c r="V20" s="6"/>
      <c r="W20" s="17" t="str">
        <f>tbl_PutAway[[#This Row],[Put Away Number]]&amp;"-"&amp;tbl_PutAway[[#This Row],[Put Away Line]]</f>
        <v>PA-2026-0012-10</v>
      </c>
    </row>
    <row r="24" spans="1:23" x14ac:dyDescent="0.25">
      <c r="A24" s="4" t="s">
        <v>67</v>
      </c>
    </row>
    <row r="25" spans="1:23" x14ac:dyDescent="0.25">
      <c r="A25" s="5"/>
    </row>
    <row r="26" spans="1:23" x14ac:dyDescent="0.25">
      <c r="A26" s="5"/>
    </row>
    <row r="27" spans="1:23" x14ac:dyDescent="0.25">
      <c r="A27" s="5"/>
    </row>
    <row r="28" spans="1:23" x14ac:dyDescent="0.25">
      <c r="A28" s="5"/>
    </row>
    <row r="29" spans="1:23" x14ac:dyDescent="0.25">
      <c r="A29" s="5"/>
    </row>
    <row r="30" spans="1:23" x14ac:dyDescent="0.25">
      <c r="A30" s="5"/>
    </row>
    <row r="34" spans="1:7" x14ac:dyDescent="0.25">
      <c r="A34" s="21"/>
      <c r="B34" s="23"/>
      <c r="C34" s="21"/>
      <c r="D34" s="21"/>
      <c r="E34" s="21"/>
      <c r="F34" s="23"/>
      <c r="G34" s="21"/>
    </row>
    <row r="35" spans="1:7" x14ac:dyDescent="0.25">
      <c r="A35" s="22"/>
      <c r="B35" s="27"/>
      <c r="C35" s="28"/>
      <c r="D35" s="22"/>
      <c r="E35" s="22"/>
      <c r="F35" s="27"/>
      <c r="G35" s="22"/>
    </row>
    <row r="36" spans="1:7" x14ac:dyDescent="0.25">
      <c r="A36" s="22"/>
      <c r="B36" s="27"/>
      <c r="C36" s="28"/>
      <c r="D36" s="22"/>
      <c r="E36" s="22"/>
      <c r="F36" s="27"/>
      <c r="G36" s="22"/>
    </row>
    <row r="37" spans="1:7" x14ac:dyDescent="0.25">
      <c r="A37" s="22"/>
      <c r="B37" s="27"/>
      <c r="C37" s="28"/>
      <c r="D37" s="22"/>
      <c r="E37" s="22"/>
      <c r="F37" s="27"/>
      <c r="G37" s="22"/>
    </row>
    <row r="38" spans="1:7" x14ac:dyDescent="0.25">
      <c r="A38" s="22"/>
      <c r="B38" s="27"/>
      <c r="C38" s="28"/>
      <c r="D38" s="22"/>
      <c r="E38" s="22"/>
      <c r="F38" s="27"/>
      <c r="G38" s="22"/>
    </row>
    <row r="39" spans="1:7" x14ac:dyDescent="0.25">
      <c r="A39" s="22"/>
      <c r="B39" s="27"/>
      <c r="C39" s="28"/>
      <c r="D39" s="22"/>
      <c r="E39" s="22"/>
      <c r="F39" s="27"/>
      <c r="G39" s="22"/>
    </row>
    <row r="40" spans="1:7" x14ac:dyDescent="0.25">
      <c r="A40" s="22"/>
      <c r="B40" s="27"/>
      <c r="C40" s="28"/>
      <c r="D40" s="22"/>
      <c r="E40" s="22"/>
      <c r="F40" s="27"/>
      <c r="G40" s="22"/>
    </row>
    <row r="41" spans="1:7" x14ac:dyDescent="0.25">
      <c r="A41" s="22"/>
      <c r="B41" s="27"/>
      <c r="C41" s="28"/>
      <c r="D41" s="22"/>
      <c r="E41" s="22"/>
      <c r="F41" s="27"/>
      <c r="G41" s="22"/>
    </row>
    <row r="42" spans="1:7" x14ac:dyDescent="0.25">
      <c r="A42" s="22"/>
      <c r="B42" s="27"/>
      <c r="C42" s="28"/>
      <c r="D42" s="22"/>
      <c r="E42" s="22"/>
      <c r="F42" s="27"/>
      <c r="G42" s="22"/>
    </row>
    <row r="43" spans="1:7" x14ac:dyDescent="0.25">
      <c r="A43" s="22"/>
      <c r="B43" s="27"/>
      <c r="C43" s="28"/>
      <c r="D43" s="22"/>
      <c r="E43" s="22"/>
      <c r="F43" s="27"/>
      <c r="G43" s="22"/>
    </row>
    <row r="44" spans="1:7" x14ac:dyDescent="0.25">
      <c r="A44" s="22"/>
      <c r="B44" s="27"/>
      <c r="C44" s="28"/>
      <c r="D44" s="22"/>
      <c r="E44" s="22"/>
      <c r="F44" s="27"/>
      <c r="G44" s="22"/>
    </row>
    <row r="45" spans="1:7" x14ac:dyDescent="0.25">
      <c r="A45" s="22"/>
      <c r="B45" s="27"/>
      <c r="C45" s="28"/>
      <c r="D45" s="22"/>
      <c r="E45" s="22"/>
      <c r="F45" s="27"/>
      <c r="G45" s="22"/>
    </row>
    <row r="46" spans="1:7" x14ac:dyDescent="0.25">
      <c r="A46" s="22"/>
      <c r="B46" s="27"/>
      <c r="C46" s="28"/>
      <c r="D46" s="22"/>
      <c r="E46" s="22"/>
      <c r="F46" s="27"/>
      <c r="G46" s="22"/>
    </row>
    <row r="47" spans="1:7" x14ac:dyDescent="0.25">
      <c r="A47" s="22"/>
      <c r="B47" s="27"/>
      <c r="C47" s="28"/>
      <c r="D47" s="22"/>
      <c r="E47" s="22"/>
      <c r="F47" s="27"/>
      <c r="G47" s="22"/>
    </row>
    <row r="48" spans="1:7" x14ac:dyDescent="0.25">
      <c r="A48" s="22"/>
      <c r="B48" s="27"/>
      <c r="C48" s="28"/>
      <c r="D48" s="22"/>
      <c r="E48" s="22"/>
      <c r="F48" s="27"/>
      <c r="G48" s="22"/>
    </row>
    <row r="49" spans="1:7" x14ac:dyDescent="0.25">
      <c r="A49" s="22"/>
      <c r="B49" s="27"/>
      <c r="C49" s="28"/>
      <c r="D49" s="22"/>
      <c r="E49" s="22"/>
      <c r="F49" s="27"/>
      <c r="G49" s="22"/>
    </row>
    <row r="50" spans="1:7" x14ac:dyDescent="0.25">
      <c r="A50" s="22"/>
      <c r="B50" s="27"/>
      <c r="C50" s="28"/>
      <c r="D50" s="22"/>
      <c r="E50" s="22"/>
      <c r="F50" s="27"/>
      <c r="G50" s="22"/>
    </row>
    <row r="51" spans="1:7" x14ac:dyDescent="0.25">
      <c r="A51" s="22"/>
      <c r="B51" s="27"/>
      <c r="C51" s="28"/>
      <c r="D51" s="22"/>
      <c r="E51" s="22"/>
      <c r="F51" s="27"/>
      <c r="G51" s="22"/>
    </row>
    <row r="52" spans="1:7" x14ac:dyDescent="0.25">
      <c r="A52" s="22"/>
      <c r="B52" s="27"/>
      <c r="C52" s="28"/>
      <c r="D52" s="22"/>
      <c r="E52" s="22"/>
      <c r="F52" s="27"/>
      <c r="G52" s="22"/>
    </row>
    <row r="53" spans="1:7" x14ac:dyDescent="0.25">
      <c r="A53" s="22"/>
      <c r="B53" s="27"/>
      <c r="C53" s="28"/>
      <c r="D53" s="22"/>
      <c r="E53" s="22"/>
      <c r="F53" s="27"/>
      <c r="G53" s="22"/>
    </row>
    <row r="54" spans="1:7" x14ac:dyDescent="0.25">
      <c r="A54" s="22"/>
      <c r="B54" s="27"/>
      <c r="C54" s="28"/>
      <c r="D54" s="22"/>
      <c r="E54" s="22"/>
      <c r="F54" s="27"/>
      <c r="G54" s="22"/>
    </row>
  </sheetData>
  <mergeCells count="1">
    <mergeCell ref="A1:W1"/>
  </mergeCells>
  <phoneticPr fontId="10" type="noConversion"/>
  <conditionalFormatting sqref="Q22:Q513">
    <cfRule type="expression" dxfId="43" priority="5">
      <formula>$Q22="Mismatch - Review"</formula>
    </cfRule>
  </conditionalFormatting>
  <conditionalFormatting sqref="R4:R20">
    <cfRule type="duplicateValues" dxfId="42" priority="1"/>
  </conditionalFormatting>
  <conditionalFormatting sqref="T4:T20">
    <cfRule type="expression" dxfId="41" priority="2">
      <formula>$T4="Mismatch - Review"</formula>
    </cfRule>
  </conditionalFormatting>
  <conditionalFormatting sqref="U4:U20">
    <cfRule type="expression" dxfId="40" priority="3">
      <formula>$U4="Partial"</formula>
    </cfRule>
    <cfRule type="expression" dxfId="39" priority="74">
      <formula>$U4="Exception - Needs Review"</formula>
    </cfRule>
    <cfRule type="expression" dxfId="38" priority="75">
      <formula>$U4="Completed"</formula>
    </cfRule>
  </conditionalFormatting>
  <dataValidations count="1">
    <dataValidation type="list" showInputMessage="1" showErrorMessage="1" errorTitle="Invalid entry" error="Please select a value from the list." promptTitle="Putaway Location" prompt="Select an active, pickable storage location." sqref="M22:M29 M31:M513" xr:uid="{00000000-0002-0000-0500-000002000000}">
      <formula1>"BLK-A-01,BLK-A-02,RCK-B-01-01,RCK-B-01-02,RCK-B-02-01,HAZ-C-01"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showInputMessage="1" showErrorMessage="1" errorTitle="Invalid entry" error="Please select a value from the list." promptTitle="Putaway Location" prompt="Select an active, pickable storage location." xr:uid="{8B2961C3-5CD8-466B-ABFE-53D3E96F4657}">
          <x14:formula1>
            <xm:f>'01_Master_Material'!$F$4:$F$23</xm:f>
          </x14:formula1>
          <xm:sqref>M30</xm:sqref>
        </x14:dataValidation>
        <x14:dataValidation type="list" showInputMessage="1" showErrorMessage="1" errorTitle="Invalid entry" error="Please select a value from the list." promptTitle="Putaway Location" prompt="Select an active, pickable storage location." xr:uid="{C9E9FDD9-6BAC-4170-8480-75639DB439E6}">
          <x14:formula1>
            <xm:f>'03_Master_Location'!$A$4:$A$28</xm:f>
          </x14:formula1>
          <xm:sqref>R4:R20</xm:sqref>
        </x14:dataValidation>
        <x14:dataValidation type="list" showInputMessage="1" showErrorMessage="1" errorTitle="Invalid entry" error="Please select a value from the list." promptTitle="GR Number" prompt="Select the GR Number this put-away is against." xr:uid="{00000000-0002-0000-0500-000000000000}">
          <x14:formula1>
            <xm:f>'05_Goods_Receipt'!$A$4:$A$20</xm:f>
          </x14:formula1>
          <x14:formula2>
            <xm:f>0</xm:f>
          </x14:formula2>
          <xm:sqref>D55:D513 E4:E20 D22:D33</xm:sqref>
        </x14:dataValidation>
        <x14:dataValidation type="list" showInputMessage="1" showErrorMessage="1" errorTitle="Invalid entry" error="Please select a value from the list." promptTitle="GR Line" prompt="Select the GR Line this put-away is against." xr:uid="{00000000-0002-0000-0500-000001000000}">
          <x14:formula1>
            <xm:f>'05_Goods_Receipt'!$B$4:$B$20</xm:f>
          </x14:formula1>
          <x14:formula2>
            <xm:f>0</xm:f>
          </x14:formula2>
          <xm:sqref>E55:E513 F4:F20 E22:E33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24"/>
  <sheetViews>
    <sheetView showGridLines="0" zoomScaleNormal="100" workbookViewId="0">
      <pane ySplit="3" topLeftCell="A4" activePane="bottomLeft" state="frozen"/>
      <selection pane="bottomLeft" activeCell="A2" sqref="A2"/>
    </sheetView>
  </sheetViews>
  <sheetFormatPr defaultColWidth="8.7109375" defaultRowHeight="15" x14ac:dyDescent="0.25"/>
  <cols>
    <col min="1" max="1" width="14.28515625" customWidth="1"/>
    <col min="2" max="2" width="9.140625" customWidth="1"/>
    <col min="3" max="3" width="15.85546875" customWidth="1"/>
    <col min="4" max="4" width="14.85546875" customWidth="1"/>
    <col min="5" max="5" width="17.42578125" bestFit="1" customWidth="1"/>
    <col min="6" max="6" width="13.7109375" customWidth="1"/>
    <col min="7" max="7" width="13.85546875" bestFit="1" customWidth="1"/>
    <col min="8" max="8" width="31.5703125" bestFit="1" customWidth="1"/>
    <col min="9" max="9" width="10.7109375" customWidth="1"/>
    <col min="10" max="10" width="13.42578125" customWidth="1"/>
    <col min="11" max="11" width="13.85546875" customWidth="1"/>
    <col min="12" max="12" width="13.5703125" customWidth="1"/>
    <col min="13" max="13" width="17.42578125" customWidth="1"/>
    <col min="14" max="14" width="14.5703125" customWidth="1"/>
    <col min="15" max="15" width="13.85546875" customWidth="1"/>
    <col min="16" max="16" width="12.5703125" customWidth="1"/>
    <col min="17" max="17" width="42.42578125" bestFit="1" customWidth="1"/>
    <col min="18" max="18" width="23" bestFit="1" customWidth="1"/>
  </cols>
  <sheetData>
    <row r="1" spans="1:18" ht="24" customHeight="1" x14ac:dyDescent="0.25">
      <c r="A1" s="109" t="s">
        <v>446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</row>
    <row r="3" spans="1:18" ht="31.5" customHeight="1" x14ac:dyDescent="0.25">
      <c r="A3" s="1" t="s">
        <v>154</v>
      </c>
      <c r="B3" s="1" t="s">
        <v>155</v>
      </c>
      <c r="C3" s="1" t="s">
        <v>156</v>
      </c>
      <c r="D3" s="1" t="s">
        <v>160</v>
      </c>
      <c r="E3" s="1" t="s">
        <v>157</v>
      </c>
      <c r="F3" s="1" t="s">
        <v>397</v>
      </c>
      <c r="G3" s="1" t="s">
        <v>1</v>
      </c>
      <c r="H3" s="1" t="s">
        <v>2</v>
      </c>
      <c r="I3" s="1" t="s">
        <v>4</v>
      </c>
      <c r="J3" s="1" t="s">
        <v>158</v>
      </c>
      <c r="K3" s="1" t="s">
        <v>159</v>
      </c>
      <c r="L3" s="1" t="s">
        <v>396</v>
      </c>
      <c r="M3" s="1" t="s">
        <v>162</v>
      </c>
      <c r="N3" s="1" t="s">
        <v>399</v>
      </c>
      <c r="O3" s="1" t="s">
        <v>161</v>
      </c>
      <c r="P3" s="1" t="s">
        <v>163</v>
      </c>
      <c r="Q3" s="1" t="s">
        <v>124</v>
      </c>
      <c r="R3" s="1" t="s">
        <v>164</v>
      </c>
    </row>
    <row r="4" spans="1:18" x14ac:dyDescent="0.25">
      <c r="A4" s="6" t="s">
        <v>165</v>
      </c>
      <c r="B4" s="7">
        <v>10</v>
      </c>
      <c r="C4" s="8">
        <v>46253</v>
      </c>
      <c r="D4" s="8">
        <v>46255</v>
      </c>
      <c r="E4" s="6" t="s">
        <v>166</v>
      </c>
      <c r="F4" s="6" t="s">
        <v>421</v>
      </c>
      <c r="G4" s="6" t="s">
        <v>14</v>
      </c>
      <c r="H4" s="9" t="str">
        <f>_xlfn.XLOOKUP(tbl_MaterialRequest[[#This Row],[Material Code]],tbl_MasterMaterial[Material Code],tbl_MasterMaterial[Material Description])</f>
        <v>Hydraulic Cylinder Seal Kit 80mm</v>
      </c>
      <c r="I4" s="10" t="str">
        <f>_xlfn.XLOOKUP(tbl_MaterialRequest[[#This Row],[Material Code]],tbl_MasterMaterial[Material Code],tbl_MasterMaterial[Base UoM])</f>
        <v>PCS</v>
      </c>
      <c r="J4" s="11">
        <v>4</v>
      </c>
      <c r="K4" s="14" t="s">
        <v>167</v>
      </c>
      <c r="L4" s="19">
        <f>_xlfn.XLOOKUP(tbl_MaterialRequest[[#This Row],[Material Code]],'10_Stock_Card'!F4:F32,'10_Stock_Card'!M4:M32,"",0,-1)</f>
        <v>76</v>
      </c>
      <c r="M4" s="16" t="str">
        <f>IF(L4&gt;=J4,"Sufficient","Insufficient - Review")</f>
        <v>Sufficient</v>
      </c>
      <c r="N4" s="14" t="s">
        <v>84</v>
      </c>
      <c r="O4" s="12">
        <f>IFERROR(_xlfn.XLOOKUP(tbl_MaterialRequest[[#This Row],[Request Line Key (Helper)]],tbl_GoodsIssue[MR],tbl_GoodsIssue[Quantity Issued]),"")</f>
        <v>4</v>
      </c>
      <c r="P4" s="63" t="s">
        <v>467</v>
      </c>
      <c r="Q4" s="6"/>
      <c r="R4" s="17" t="str">
        <f>tbl_MaterialRequest[[#This Row],[Request Number]]&amp;"-"&amp;tbl_MaterialRequest[[#This Row],[Request Line]]</f>
        <v>MR-2026-0001-10</v>
      </c>
    </row>
    <row r="5" spans="1:18" x14ac:dyDescent="0.25">
      <c r="A5" s="6" t="s">
        <v>165</v>
      </c>
      <c r="B5" s="7">
        <v>20</v>
      </c>
      <c r="C5" s="8">
        <v>46253</v>
      </c>
      <c r="D5" s="8">
        <v>46255</v>
      </c>
      <c r="E5" s="6" t="s">
        <v>166</v>
      </c>
      <c r="F5" s="6" t="s">
        <v>421</v>
      </c>
      <c r="G5" s="6" t="s">
        <v>39</v>
      </c>
      <c r="H5" s="9" t="str">
        <f>_xlfn.XLOOKUP(tbl_MaterialRequest[[#This Row],[Material Code]],tbl_MasterMaterial[Material Code],tbl_MasterMaterial[Material Description])</f>
        <v>Hydraulic Hose 1/2in x 3m</v>
      </c>
      <c r="I5" s="10" t="str">
        <f>_xlfn.XLOOKUP(tbl_MaterialRequest[[#This Row],[Material Code]],tbl_MasterMaterial[Material Code],tbl_MasterMaterial[Base UoM])</f>
        <v>PCS</v>
      </c>
      <c r="J5" s="11">
        <v>5</v>
      </c>
      <c r="K5" s="14" t="s">
        <v>167</v>
      </c>
      <c r="L5" s="19">
        <f>_xlfn.XLOOKUP(tbl_MaterialRequest[[#This Row],[Material Code]],'10_Stock_Card'!F5:F33,'10_Stock_Card'!M5:M33,"",0,-1)</f>
        <v>55</v>
      </c>
      <c r="M5" s="16" t="str">
        <f t="shared" ref="M5:M18" si="0">IF(L5&gt;=J5,"Sufficient","Insufficient - Review")</f>
        <v>Sufficient</v>
      </c>
      <c r="N5" s="14" t="s">
        <v>84</v>
      </c>
      <c r="O5" s="12">
        <f>IFERROR(_xlfn.XLOOKUP(tbl_MaterialRequest[[#This Row],[Request Line Key (Helper)]],tbl_GoodsIssue[MR],tbl_GoodsIssue[Quantity Issued]),"")</f>
        <v>5</v>
      </c>
      <c r="P5" s="63" t="s">
        <v>467</v>
      </c>
      <c r="Q5" s="64"/>
      <c r="R5" s="17" t="str">
        <f>tbl_MaterialRequest[[#This Row],[Request Number]]&amp;"-"&amp;tbl_MaterialRequest[[#This Row],[Request Line]]</f>
        <v>MR-2026-0001-20</v>
      </c>
    </row>
    <row r="6" spans="1:18" x14ac:dyDescent="0.25">
      <c r="A6" s="6" t="s">
        <v>169</v>
      </c>
      <c r="B6" s="7">
        <v>10</v>
      </c>
      <c r="C6" s="8">
        <v>46257</v>
      </c>
      <c r="D6" s="8">
        <v>46259</v>
      </c>
      <c r="E6" s="6" t="s">
        <v>170</v>
      </c>
      <c r="F6" s="6" t="s">
        <v>422</v>
      </c>
      <c r="G6" s="6" t="s">
        <v>25</v>
      </c>
      <c r="H6" s="9" t="str">
        <f>_xlfn.XLOOKUP(tbl_MaterialRequest[[#This Row],[Material Code]],tbl_MasterMaterial[Material Code],tbl_MasterMaterial[Material Description])</f>
        <v>Engine Oil Filter (Cat 320D)</v>
      </c>
      <c r="I6" s="10" t="str">
        <f>_xlfn.XLOOKUP(tbl_MaterialRequest[[#This Row],[Material Code]],tbl_MasterMaterial[Material Code],tbl_MasterMaterial[Base UoM])</f>
        <v>PCS</v>
      </c>
      <c r="J6" s="11">
        <v>15</v>
      </c>
      <c r="K6" s="14" t="s">
        <v>128</v>
      </c>
      <c r="L6" s="19">
        <f>_xlfn.XLOOKUP(tbl_MaterialRequest[[#This Row],[Material Code]],'10_Stock_Card'!F6:F37,'10_Stock_Card'!M6:M37,"",0,-1)</f>
        <v>65</v>
      </c>
      <c r="M6" s="16" t="str">
        <f t="shared" si="0"/>
        <v>Sufficient</v>
      </c>
      <c r="N6" s="14" t="s">
        <v>84</v>
      </c>
      <c r="O6" s="12">
        <f>IFERROR(_xlfn.XLOOKUP(tbl_MaterialRequest[[#This Row],[Request Line Key (Helper)]],tbl_GoodsIssue[MR],tbl_GoodsIssue[Quantity Issued]),"")</f>
        <v>15</v>
      </c>
      <c r="P6" s="63" t="s">
        <v>467</v>
      </c>
      <c r="Q6" s="6" t="s">
        <v>411</v>
      </c>
      <c r="R6" s="17" t="str">
        <f>tbl_MaterialRequest[[#This Row],[Request Number]]&amp;"-"&amp;tbl_MaterialRequest[[#This Row],[Request Line]]</f>
        <v>MR-2026-0002-10</v>
      </c>
    </row>
    <row r="7" spans="1:18" x14ac:dyDescent="0.25">
      <c r="A7" s="6" t="s">
        <v>171</v>
      </c>
      <c r="B7" s="7">
        <v>10</v>
      </c>
      <c r="C7" s="8">
        <v>46259</v>
      </c>
      <c r="D7" s="8">
        <v>46261</v>
      </c>
      <c r="E7" s="6" t="s">
        <v>166</v>
      </c>
      <c r="F7" s="6" t="s">
        <v>463</v>
      </c>
      <c r="G7" s="6" t="s">
        <v>27</v>
      </c>
      <c r="H7" s="9" t="str">
        <f>_xlfn.XLOOKUP(tbl_MaterialRequest[[#This Row],[Material Code]],tbl_MasterMaterial[Material Code],tbl_MasterMaterial[Material Description])</f>
        <v>Hex Bolt M12x50 Grade 8.8</v>
      </c>
      <c r="I7" s="10" t="str">
        <f>_xlfn.XLOOKUP(tbl_MaterialRequest[[#This Row],[Material Code]],tbl_MasterMaterial[Material Code],tbl_MasterMaterial[Base UoM])</f>
        <v>PCS</v>
      </c>
      <c r="J7" s="11">
        <v>1000</v>
      </c>
      <c r="K7" s="14" t="s">
        <v>167</v>
      </c>
      <c r="L7" s="19">
        <f>_xlfn.XLOOKUP(tbl_MaterialRequest[[#This Row],[Material Code]],'10_Stock_Card'!F7:F38,'10_Stock_Card'!M7:M38,"",0,-1)</f>
        <v>1500</v>
      </c>
      <c r="M7" s="16" t="str">
        <f t="shared" si="0"/>
        <v>Sufficient</v>
      </c>
      <c r="N7" s="14" t="s">
        <v>84</v>
      </c>
      <c r="O7" s="12">
        <f>IFERROR(_xlfn.XLOOKUP(tbl_MaterialRequest[[#This Row],[Request Line Key (Helper)]],tbl_GoodsIssue[MR],tbl_GoodsIssue[Quantity Issued]),"")</f>
        <v>1000</v>
      </c>
      <c r="P7" s="63" t="s">
        <v>467</v>
      </c>
      <c r="Q7" s="6"/>
      <c r="R7" s="17" t="str">
        <f>tbl_MaterialRequest[[#This Row],[Request Number]]&amp;"-"&amp;tbl_MaterialRequest[[#This Row],[Request Line]]</f>
        <v>MR-2026-0003-10</v>
      </c>
    </row>
    <row r="8" spans="1:18" x14ac:dyDescent="0.25">
      <c r="A8" s="6" t="s">
        <v>172</v>
      </c>
      <c r="B8" s="7">
        <v>10</v>
      </c>
      <c r="C8" s="8">
        <v>46261</v>
      </c>
      <c r="D8" s="8">
        <v>46263</v>
      </c>
      <c r="E8" s="6" t="s">
        <v>408</v>
      </c>
      <c r="F8" s="6" t="s">
        <v>419</v>
      </c>
      <c r="G8" s="6" t="s">
        <v>31</v>
      </c>
      <c r="H8" s="9" t="str">
        <f>_xlfn.XLOOKUP(tbl_MaterialRequest[[#This Row],[Material Code]],tbl_MasterMaterial[Material Code],tbl_MasterMaterial[Material Description])</f>
        <v>Industrial Degreaser 20L</v>
      </c>
      <c r="I8" s="10" t="str">
        <f>_xlfn.XLOOKUP(tbl_MaterialRequest[[#This Row],[Material Code]],tbl_MasterMaterial[Material Code],tbl_MasterMaterial[Base UoM])</f>
        <v>LTR</v>
      </c>
      <c r="J8" s="11">
        <v>23</v>
      </c>
      <c r="K8" s="14" t="s">
        <v>167</v>
      </c>
      <c r="L8" s="19">
        <f>_xlfn.XLOOKUP(tbl_MaterialRequest[[#This Row],[Material Code]],'10_Stock_Card'!F8:F39,'10_Stock_Card'!M8:M39,"",0,-1)</f>
        <v>68</v>
      </c>
      <c r="M8" s="16" t="str">
        <f t="shared" si="0"/>
        <v>Sufficient</v>
      </c>
      <c r="N8" s="14" t="s">
        <v>398</v>
      </c>
      <c r="O8" s="12" t="str">
        <f>IFERROR(_xlfn.XLOOKUP(tbl_MaterialRequest[[#This Row],[Request Line Key (Helper)]],tbl_GoodsIssue[MR],tbl_GoodsIssue[Quantity Issued]),"")</f>
        <v/>
      </c>
      <c r="P8" s="63" t="s">
        <v>398</v>
      </c>
      <c r="Q8" s="6" t="s">
        <v>464</v>
      </c>
      <c r="R8" s="17" t="str">
        <f>tbl_MaterialRequest[[#This Row],[Request Number]]&amp;"-"&amp;tbl_MaterialRequest[[#This Row],[Request Line]]</f>
        <v>MR-2026-0004-10</v>
      </c>
    </row>
    <row r="9" spans="1:18" x14ac:dyDescent="0.25">
      <c r="A9" s="6" t="s">
        <v>400</v>
      </c>
      <c r="B9" s="7">
        <v>10</v>
      </c>
      <c r="C9" s="8">
        <v>46263</v>
      </c>
      <c r="D9" s="8">
        <v>46265</v>
      </c>
      <c r="E9" s="6" t="s">
        <v>166</v>
      </c>
      <c r="F9" s="6" t="s">
        <v>463</v>
      </c>
      <c r="G9" s="6" t="s">
        <v>43</v>
      </c>
      <c r="H9" s="9" t="str">
        <f>_xlfn.XLOOKUP(tbl_MaterialRequest[[#This Row],[Material Code]],tbl_MasterMaterial[Material Code],tbl_MasterMaterial[Material Description])</f>
        <v>Welding Electrode E7018 3.2mm</v>
      </c>
      <c r="I9" s="10" t="str">
        <f>_xlfn.XLOOKUP(tbl_MaterialRequest[[#This Row],[Material Code]],tbl_MasterMaterial[Material Code],tbl_MasterMaterial[Base UoM])</f>
        <v>KG</v>
      </c>
      <c r="J9" s="11">
        <v>6</v>
      </c>
      <c r="K9" s="14" t="s">
        <v>128</v>
      </c>
      <c r="L9" s="19">
        <f>_xlfn.XLOOKUP(tbl_MaterialRequest[[#This Row],[Material Code]],'10_Stock_Card'!F9:F40,'10_Stock_Card'!M9:M40,"",0,-1)</f>
        <v>284</v>
      </c>
      <c r="M9" s="16" t="str">
        <f t="shared" si="0"/>
        <v>Sufficient</v>
      </c>
      <c r="N9" s="14" t="s">
        <v>84</v>
      </c>
      <c r="O9" s="12">
        <f>IFERROR(_xlfn.XLOOKUP(tbl_MaterialRequest[[#This Row],[Request Line Key (Helper)]],tbl_GoodsIssue[MR],tbl_GoodsIssue[Quantity Issued]),"")</f>
        <v>6</v>
      </c>
      <c r="P9" s="63" t="s">
        <v>467</v>
      </c>
      <c r="Q9" s="6" t="s">
        <v>412</v>
      </c>
      <c r="R9" s="17" t="str">
        <f>tbl_MaterialRequest[[#This Row],[Request Number]]&amp;"-"&amp;tbl_MaterialRequest[[#This Row],[Request Line]]</f>
        <v>MR-2026-0005-10</v>
      </c>
    </row>
    <row r="10" spans="1:18" x14ac:dyDescent="0.25">
      <c r="A10" s="6" t="s">
        <v>400</v>
      </c>
      <c r="B10" s="7">
        <v>20</v>
      </c>
      <c r="C10" s="8">
        <v>46263</v>
      </c>
      <c r="D10" s="8">
        <v>46265</v>
      </c>
      <c r="E10" s="6" t="s">
        <v>408</v>
      </c>
      <c r="F10" s="6" t="s">
        <v>419</v>
      </c>
      <c r="G10" s="6" t="s">
        <v>52</v>
      </c>
      <c r="H10" s="9" t="str">
        <f>_xlfn.XLOOKUP(tbl_MaterialRequest[[#This Row],[Material Code]],tbl_MasterMaterial[Material Code],tbl_MasterMaterial[Material Description])</f>
        <v>Flat Washer M12 Zinc Plated</v>
      </c>
      <c r="I10" s="10" t="str">
        <f>_xlfn.XLOOKUP(tbl_MaterialRequest[[#This Row],[Material Code]],tbl_MasterMaterial[Material Code],tbl_MasterMaterial[Base UoM])</f>
        <v>PCS</v>
      </c>
      <c r="J10" s="11">
        <v>2000</v>
      </c>
      <c r="K10" s="14" t="s">
        <v>167</v>
      </c>
      <c r="L10" s="19">
        <f>_xlfn.XLOOKUP(tbl_MaterialRequest[[#This Row],[Material Code]],'10_Stock_Card'!F10:F41,'10_Stock_Card'!M10:M41,"",0,-1)</f>
        <v>3005</v>
      </c>
      <c r="M10" s="16" t="str">
        <f t="shared" si="0"/>
        <v>Sufficient</v>
      </c>
      <c r="N10" s="14" t="s">
        <v>84</v>
      </c>
      <c r="O10" s="12">
        <f>IFERROR(_xlfn.XLOOKUP(tbl_MaterialRequest[[#This Row],[Request Line Key (Helper)]],tbl_GoodsIssue[MR],tbl_GoodsIssue[Quantity Issued]),"")</f>
        <v>1995</v>
      </c>
      <c r="P10" s="63" t="s">
        <v>467</v>
      </c>
      <c r="Q10" s="6"/>
      <c r="R10" s="17" t="str">
        <f>tbl_MaterialRequest[[#This Row],[Request Number]]&amp;"-"&amp;tbl_MaterialRequest[[#This Row],[Request Line]]</f>
        <v>MR-2026-0005-20</v>
      </c>
    </row>
    <row r="11" spans="1:18" x14ac:dyDescent="0.25">
      <c r="A11" s="6" t="s">
        <v>401</v>
      </c>
      <c r="B11" s="7">
        <v>10</v>
      </c>
      <c r="C11" s="8">
        <v>46266</v>
      </c>
      <c r="D11" s="8">
        <v>46268</v>
      </c>
      <c r="E11" s="6" t="s">
        <v>170</v>
      </c>
      <c r="F11" s="6" t="s">
        <v>422</v>
      </c>
      <c r="G11" s="6" t="s">
        <v>21</v>
      </c>
      <c r="H11" s="9" t="str">
        <f>_xlfn.XLOOKUP(tbl_MaterialRequest[[#This Row],[Material Code]],tbl_MasterMaterial[Material Code],tbl_MasterMaterial[Material Description])</f>
        <v>Steel Plate 10mm x 2m x 1m</v>
      </c>
      <c r="I11" s="10" t="str">
        <f>_xlfn.XLOOKUP(tbl_MaterialRequest[[#This Row],[Material Code]],tbl_MasterMaterial[Material Code],tbl_MasterMaterial[Base UoM])</f>
        <v>PCS</v>
      </c>
      <c r="J11" s="11">
        <v>15</v>
      </c>
      <c r="K11" s="14" t="s">
        <v>167</v>
      </c>
      <c r="L11" s="19">
        <f>_xlfn.XLOOKUP(tbl_MaterialRequest[[#This Row],[Material Code]],'10_Stock_Card'!F11:F42,'10_Stock_Card'!M11:M42,"",0,-1)</f>
        <v>45</v>
      </c>
      <c r="M11" s="16" t="str">
        <f t="shared" si="0"/>
        <v>Sufficient</v>
      </c>
      <c r="N11" s="14" t="s">
        <v>84</v>
      </c>
      <c r="O11" s="12">
        <f>IFERROR(_xlfn.XLOOKUP(tbl_MaterialRequest[[#This Row],[Request Line Key (Helper)]],tbl_GoodsIssue[MR],tbl_GoodsIssue[Quantity Issued]),"")</f>
        <v>15</v>
      </c>
      <c r="P11" s="63" t="s">
        <v>467</v>
      </c>
      <c r="Q11" s="6" t="s">
        <v>413</v>
      </c>
      <c r="R11" s="17" t="str">
        <f>tbl_MaterialRequest[[#This Row],[Request Number]]&amp;"-"&amp;tbl_MaterialRequest[[#This Row],[Request Line]]</f>
        <v>MR-2026-0006-10</v>
      </c>
    </row>
    <row r="12" spans="1:18" x14ac:dyDescent="0.25">
      <c r="A12" s="6" t="s">
        <v>402</v>
      </c>
      <c r="B12" s="7">
        <v>10</v>
      </c>
      <c r="C12" s="8">
        <v>46271</v>
      </c>
      <c r="D12" s="8">
        <v>46273</v>
      </c>
      <c r="E12" s="6" t="s">
        <v>166</v>
      </c>
      <c r="F12" s="6" t="s">
        <v>421</v>
      </c>
      <c r="G12" s="6" t="s">
        <v>46</v>
      </c>
      <c r="H12" s="9" t="str">
        <f>_xlfn.XLOOKUP(tbl_MaterialRequest[[#This Row],[Material Code]],tbl_MasterMaterial[Material Code],tbl_MasterMaterial[Material Description])</f>
        <v>Final Drive Motor (Excavator PC200)</v>
      </c>
      <c r="I12" s="10" t="str">
        <f>_xlfn.XLOOKUP(tbl_MaterialRequest[[#This Row],[Material Code]],tbl_MasterMaterial[Material Code],tbl_MasterMaterial[Base UoM])</f>
        <v>PCS</v>
      </c>
      <c r="J12" s="11">
        <v>60</v>
      </c>
      <c r="K12" s="14" t="s">
        <v>167</v>
      </c>
      <c r="L12" s="19">
        <v>70</v>
      </c>
      <c r="M12" s="16" t="str">
        <f t="shared" si="0"/>
        <v>Sufficient</v>
      </c>
      <c r="N12" s="14" t="s">
        <v>398</v>
      </c>
      <c r="O12" s="12" t="str">
        <f>IFERROR(_xlfn.XLOOKUP(tbl_MaterialRequest[[#This Row],[Request Line Key (Helper)]],tbl_GoodsIssue[MR],tbl_GoodsIssue[Quantity Issued]),"")</f>
        <v/>
      </c>
      <c r="P12" s="63" t="s">
        <v>398</v>
      </c>
      <c r="Q12" s="6" t="s">
        <v>414</v>
      </c>
      <c r="R12" s="17" t="str">
        <f>tbl_MaterialRequest[[#This Row],[Request Number]]&amp;"-"&amp;tbl_MaterialRequest[[#This Row],[Request Line]]</f>
        <v>MR-2026-0007-10</v>
      </c>
    </row>
    <row r="13" spans="1:18" x14ac:dyDescent="0.25">
      <c r="A13" s="6" t="s">
        <v>403</v>
      </c>
      <c r="B13" s="7">
        <v>10</v>
      </c>
      <c r="C13" s="8">
        <v>46273</v>
      </c>
      <c r="D13" s="8">
        <v>46275</v>
      </c>
      <c r="E13" s="6" t="s">
        <v>409</v>
      </c>
      <c r="F13" s="6" t="s">
        <v>420</v>
      </c>
      <c r="G13" s="6" t="s">
        <v>37</v>
      </c>
      <c r="H13" s="9" t="str">
        <f>_xlfn.XLOOKUP(tbl_MaterialRequest[[#This Row],[Material Code]],tbl_MasterMaterial[Material Code],tbl_MasterMaterial[Material Description])</f>
        <v>Air Filter Element - Primary</v>
      </c>
      <c r="I13" s="10" t="str">
        <f>_xlfn.XLOOKUP(tbl_MaterialRequest[[#This Row],[Material Code]],tbl_MasterMaterial[Material Code],tbl_MasterMaterial[Base UoM])</f>
        <v>PCS</v>
      </c>
      <c r="J13" s="11">
        <v>8</v>
      </c>
      <c r="K13" s="14" t="s">
        <v>167</v>
      </c>
      <c r="L13" s="19">
        <f>_xlfn.XLOOKUP(tbl_MaterialRequest[[#This Row],[Material Code]],'10_Stock_Card'!F13:F44,'10_Stock_Card'!M13:M44,"",0,-1)</f>
        <v>52</v>
      </c>
      <c r="M13" s="16" t="str">
        <f t="shared" si="0"/>
        <v>Sufficient</v>
      </c>
      <c r="N13" s="14" t="s">
        <v>84</v>
      </c>
      <c r="O13" s="12">
        <f>IFERROR(_xlfn.XLOOKUP(tbl_MaterialRequest[[#This Row],[Request Line Key (Helper)]],tbl_GoodsIssue[MR],tbl_GoodsIssue[Quantity Issued]),"")</f>
        <v>8</v>
      </c>
      <c r="P13" s="63" t="s">
        <v>467</v>
      </c>
      <c r="Q13" s="6"/>
      <c r="R13" s="17" t="str">
        <f>tbl_MaterialRequest[[#This Row],[Request Number]]&amp;"-"&amp;tbl_MaterialRequest[[#This Row],[Request Line]]</f>
        <v>MR-2026-0008-10</v>
      </c>
    </row>
    <row r="14" spans="1:18" x14ac:dyDescent="0.25">
      <c r="A14" s="6" t="s">
        <v>404</v>
      </c>
      <c r="B14" s="7">
        <v>10</v>
      </c>
      <c r="C14" s="8">
        <v>46277</v>
      </c>
      <c r="D14" s="8">
        <v>46278</v>
      </c>
      <c r="E14" s="6" t="s">
        <v>166</v>
      </c>
      <c r="F14" s="6" t="s">
        <v>463</v>
      </c>
      <c r="G14" s="86" t="s">
        <v>36</v>
      </c>
      <c r="H14" s="9" t="str">
        <f>_xlfn.XLOOKUP(tbl_MaterialRequest[[#This Row],[Material Code]],tbl_MasterMaterial[Material Code],tbl_MasterMaterial[Material Description])</f>
        <v>Track Roller Assembly</v>
      </c>
      <c r="I14" s="10" t="str">
        <f>_xlfn.XLOOKUP(tbl_MaterialRequest[[#This Row],[Material Code]],tbl_MasterMaterial[Material Code],tbl_MasterMaterial[Base UoM])</f>
        <v>PCS</v>
      </c>
      <c r="J14" s="11">
        <v>15</v>
      </c>
      <c r="K14" s="14" t="s">
        <v>128</v>
      </c>
      <c r="L14" s="19">
        <f>_xlfn.XLOOKUP(tbl_MaterialRequest[[#This Row],[Material Code]],'10_Stock_Card'!F14:F45,'10_Stock_Card'!M14:M45,"",0,-1)</f>
        <v>28</v>
      </c>
      <c r="M14" s="16" t="str">
        <f t="shared" si="0"/>
        <v>Sufficient</v>
      </c>
      <c r="N14" s="14" t="s">
        <v>84</v>
      </c>
      <c r="O14" s="12">
        <f>IFERROR(_xlfn.XLOOKUP(tbl_MaterialRequest[[#This Row],[Request Line Key (Helper)]],tbl_GoodsIssue[MR],tbl_GoodsIssue[Quantity Issued]),"")</f>
        <v>15</v>
      </c>
      <c r="P14" s="63" t="s">
        <v>467</v>
      </c>
      <c r="Q14" s="6" t="s">
        <v>415</v>
      </c>
      <c r="R14" s="17" t="str">
        <f>tbl_MaterialRequest[[#This Row],[Request Number]]&amp;"-"&amp;tbl_MaterialRequest[[#This Row],[Request Line]]</f>
        <v>MR-2026-0009-10</v>
      </c>
    </row>
    <row r="15" spans="1:18" x14ac:dyDescent="0.25">
      <c r="A15" s="6" t="s">
        <v>405</v>
      </c>
      <c r="B15" s="7">
        <v>10</v>
      </c>
      <c r="C15" s="8">
        <v>46279</v>
      </c>
      <c r="D15" s="8">
        <v>46280</v>
      </c>
      <c r="E15" s="6" t="s">
        <v>408</v>
      </c>
      <c r="F15" s="6" t="s">
        <v>419</v>
      </c>
      <c r="G15" s="6" t="s">
        <v>41</v>
      </c>
      <c r="H15" s="9" t="str">
        <f>_xlfn.XLOOKUP(tbl_MaterialRequest[[#This Row],[Material Code]],tbl_MasterMaterial[Material Code],tbl_MasterMaterial[Material Description])</f>
        <v>Grease Cartridge NLGI2 400g</v>
      </c>
      <c r="I15" s="10" t="str">
        <f>_xlfn.XLOOKUP(tbl_MaterialRequest[[#This Row],[Material Code]],tbl_MasterMaterial[Material Code],tbl_MasterMaterial[Base UoM])</f>
        <v>PCS</v>
      </c>
      <c r="J15" s="11">
        <v>50</v>
      </c>
      <c r="K15" s="14" t="s">
        <v>167</v>
      </c>
      <c r="L15" s="19">
        <v>160</v>
      </c>
      <c r="M15" s="16" t="str">
        <f t="shared" si="0"/>
        <v>Sufficient</v>
      </c>
      <c r="N15" s="14" t="s">
        <v>410</v>
      </c>
      <c r="O15" s="12" t="str">
        <f>IFERROR(_xlfn.XLOOKUP(tbl_MaterialRequest[[#This Row],[Request Line Key (Helper)]],tbl_GoodsIssue[MR],tbl_GoodsIssue[Quantity Issued]),"")</f>
        <v/>
      </c>
      <c r="P15" s="63" t="s">
        <v>168</v>
      </c>
      <c r="Q15" s="6" t="s">
        <v>416</v>
      </c>
      <c r="R15" s="17" t="str">
        <f>tbl_MaterialRequest[[#This Row],[Request Number]]&amp;"-"&amp;tbl_MaterialRequest[[#This Row],[Request Line]]</f>
        <v>MR-2026-0010-10</v>
      </c>
    </row>
    <row r="16" spans="1:18" x14ac:dyDescent="0.25">
      <c r="A16" s="6" t="s">
        <v>406</v>
      </c>
      <c r="B16" s="7">
        <v>10</v>
      </c>
      <c r="C16" s="8">
        <v>46282</v>
      </c>
      <c r="D16" s="8">
        <v>46285</v>
      </c>
      <c r="E16" s="6" t="s">
        <v>166</v>
      </c>
      <c r="F16" s="6" t="s">
        <v>421</v>
      </c>
      <c r="G16" s="86" t="s">
        <v>48</v>
      </c>
      <c r="H16" s="9" t="str">
        <f>_xlfn.XLOOKUP(tbl_MaterialRequest[[#This Row],[Material Code]],tbl_MasterMaterial[Material Code],tbl_MasterMaterial[Material Description])</f>
        <v>Bucket Teeth (CAT style)</v>
      </c>
      <c r="I16" s="10" t="str">
        <f>_xlfn.XLOOKUP(tbl_MaterialRequest[[#This Row],[Material Code]],tbl_MasterMaterial[Material Code],tbl_MasterMaterial[Base UoM])</f>
        <v>PCS</v>
      </c>
      <c r="J16" s="11">
        <v>22</v>
      </c>
      <c r="K16" s="14" t="s">
        <v>167</v>
      </c>
      <c r="L16" s="19">
        <f>_xlfn.XLOOKUP(tbl_MaterialRequest[[#This Row],[Material Code]],'10_Stock_Card'!F16:F47,'10_Stock_Card'!M16:M47,"",0,-1)</f>
        <v>38</v>
      </c>
      <c r="M16" s="16" t="str">
        <f t="shared" si="0"/>
        <v>Sufficient</v>
      </c>
      <c r="N16" s="14" t="s">
        <v>84</v>
      </c>
      <c r="O16" s="12">
        <f>IFERROR(_xlfn.XLOOKUP(tbl_MaterialRequest[[#This Row],[Request Line Key (Helper)]],tbl_GoodsIssue[MR],tbl_GoodsIssue[Quantity Issued]),"")</f>
        <v>22</v>
      </c>
      <c r="P16" s="63" t="s">
        <v>467</v>
      </c>
      <c r="Q16" s="6"/>
      <c r="R16" s="17" t="str">
        <f>tbl_MaterialRequest[[#This Row],[Request Number]]&amp;"-"&amp;tbl_MaterialRequest[[#This Row],[Request Line]]</f>
        <v>MR-2026-0011-10</v>
      </c>
    </row>
    <row r="17" spans="1:18" x14ac:dyDescent="0.25">
      <c r="A17" s="6" t="s">
        <v>407</v>
      </c>
      <c r="B17" s="7">
        <v>10</v>
      </c>
      <c r="C17" s="8">
        <v>46284</v>
      </c>
      <c r="D17" s="8">
        <v>46288</v>
      </c>
      <c r="E17" s="6" t="s">
        <v>170</v>
      </c>
      <c r="F17" s="6" t="s">
        <v>422</v>
      </c>
      <c r="G17" s="6" t="s">
        <v>50</v>
      </c>
      <c r="H17" s="9" t="str">
        <f>_xlfn.XLOOKUP(tbl_MaterialRequest[[#This Row],[Material Code]],tbl_MasterMaterial[Material Code],tbl_MasterMaterial[Material Description])</f>
        <v>Radiator Coolant 20L</v>
      </c>
      <c r="I17" s="10" t="str">
        <f>_xlfn.XLOOKUP(tbl_MaterialRequest[[#This Row],[Material Code]],tbl_MasterMaterial[Material Code],tbl_MasterMaterial[Base UoM])</f>
        <v>LTR</v>
      </c>
      <c r="J17" s="11">
        <v>15</v>
      </c>
      <c r="K17" s="14" t="s">
        <v>167</v>
      </c>
      <c r="L17" s="19">
        <f>_xlfn.XLOOKUP(tbl_MaterialRequest[[#This Row],[Material Code]],'10_Stock_Card'!F17:F48,'10_Stock_Card'!M17:M48,"",0,-1)</f>
        <v>105</v>
      </c>
      <c r="M17" s="16" t="str">
        <f t="shared" si="0"/>
        <v>Sufficient</v>
      </c>
      <c r="N17" s="14" t="s">
        <v>84</v>
      </c>
      <c r="O17" s="12">
        <f>IFERROR(_xlfn.XLOOKUP(tbl_MaterialRequest[[#This Row],[Request Line Key (Helper)]],tbl_GoodsIssue[MR],tbl_GoodsIssue[Quantity Issued]),"")</f>
        <v>15</v>
      </c>
      <c r="P17" s="63" t="s">
        <v>467</v>
      </c>
      <c r="Q17" s="6" t="s">
        <v>417</v>
      </c>
      <c r="R17" s="17" t="str">
        <f>tbl_MaterialRequest[[#This Row],[Request Number]]&amp;"-"&amp;tbl_MaterialRequest[[#This Row],[Request Line]]</f>
        <v>MR-2026-0012-10</v>
      </c>
    </row>
    <row r="18" spans="1:18" x14ac:dyDescent="0.25">
      <c r="A18" s="6" t="s">
        <v>462</v>
      </c>
      <c r="B18" s="7">
        <v>10</v>
      </c>
      <c r="C18" s="8">
        <v>46286</v>
      </c>
      <c r="D18" s="8">
        <v>46289</v>
      </c>
      <c r="E18" s="6" t="s">
        <v>166</v>
      </c>
      <c r="F18" s="6" t="s">
        <v>463</v>
      </c>
      <c r="G18" s="86" t="s">
        <v>54</v>
      </c>
      <c r="H18" s="9" t="str">
        <f>_xlfn.XLOOKUP(tbl_MaterialRequest[[#This Row],[Material Code]],tbl_MasterMaterial[Material Code],tbl_MasterMaterial[Material Description])</f>
        <v>Turbocharger Assembly (Cat C15)</v>
      </c>
      <c r="I18" s="10" t="str">
        <f>_xlfn.XLOOKUP(tbl_MaterialRequest[[#This Row],[Material Code]],tbl_MasterMaterial[Material Code],tbl_MasterMaterial[Base UoM])</f>
        <v>PCS</v>
      </c>
      <c r="J18" s="11">
        <v>3</v>
      </c>
      <c r="K18" s="14" t="s">
        <v>167</v>
      </c>
      <c r="L18" s="19">
        <f>_xlfn.XLOOKUP(tbl_MaterialRequest[[#This Row],[Material Code]],'10_Stock_Card'!F18:F49,'10_Stock_Card'!M18:M49,"",0,-1)</f>
        <v>27</v>
      </c>
      <c r="M18" s="16" t="str">
        <f t="shared" si="0"/>
        <v>Sufficient</v>
      </c>
      <c r="N18" s="14" t="s">
        <v>84</v>
      </c>
      <c r="O18" s="12">
        <f>IFERROR(_xlfn.XLOOKUP(tbl_MaterialRequest[[#This Row],[Request Line Key (Helper)]],tbl_GoodsIssue[MR],tbl_GoodsIssue[Quantity Issued]),"")</f>
        <v>3</v>
      </c>
      <c r="P18" s="63" t="s">
        <v>467</v>
      </c>
      <c r="Q18" s="6"/>
      <c r="R18" s="17" t="str">
        <f>tbl_MaterialRequest[[#This Row],[Request Number]]&amp;"-"&amp;tbl_MaterialRequest[[#This Row],[Request Line]]</f>
        <v>MR-2026-0013-10</v>
      </c>
    </row>
    <row r="23" spans="1:18" x14ac:dyDescent="0.25">
      <c r="D23" s="29"/>
    </row>
    <row r="24" spans="1:18" x14ac:dyDescent="0.25">
      <c r="C24" s="29"/>
    </row>
  </sheetData>
  <mergeCells count="1">
    <mergeCell ref="A1:R1"/>
  </mergeCells>
  <phoneticPr fontId="10" type="noConversion"/>
  <conditionalFormatting sqref="I19:I507">
    <cfRule type="expression" dxfId="37" priority="2">
      <formula>$I19="Urgent"</formula>
    </cfRule>
  </conditionalFormatting>
  <conditionalFormatting sqref="K4:K18">
    <cfRule type="expression" dxfId="36" priority="83">
      <formula>$K4="Urgent"</formula>
    </cfRule>
  </conditionalFormatting>
  <conditionalFormatting sqref="M4:N18">
    <cfRule type="expression" dxfId="35" priority="80">
      <formula>$M4="Insufficient - Review"</formula>
    </cfRule>
    <cfRule type="expression" dxfId="34" priority="81">
      <formula>$M4="Sufficient"</formula>
    </cfRule>
  </conditionalFormatting>
  <conditionalFormatting sqref="N19:N507">
    <cfRule type="expression" dxfId="33" priority="3">
      <formula>$N19="Insufficient - Review"</formula>
    </cfRule>
    <cfRule type="expression" dxfId="32" priority="4">
      <formula>$N19="Sufficient"</formula>
    </cfRule>
  </conditionalFormatting>
  <dataValidations xWindow="255" yWindow="458" count="6">
    <dataValidation type="list" showInputMessage="1" showErrorMessage="1" errorTitle="Invalid entry" error="Please select a value from the list." promptTitle="Request Priority" prompt="Routine or Urgent (machine-down) request." sqref="I19:I507 K4:K18" xr:uid="{00000000-0002-0000-0600-000002000000}">
      <formula1>"Routine,Urgent"</formula1>
      <formula2>0</formula2>
    </dataValidation>
    <dataValidation type="list" showInputMessage="1" showErrorMessage="1" errorTitle="Invalid entry" error="Please select a value from the list." promptTitle="Request Status" prompt="Current status of this request line." sqref="O19:O507" xr:uid="{00000000-0002-0000-0600-000003000000}">
      <formula1>"Open,Approved,Rejected,Fulfilled"</formula1>
      <formula2>0</formula2>
    </dataValidation>
    <dataValidation type="list" showInputMessage="1" showErrorMessage="1" errorTitle="Invalid entry" error="Please select a value from the list." promptTitle="Requesting Department" prompt="Select the requesting department." sqref="C19:C21 C37:C507" xr:uid="{00000000-0002-0000-0600-000001000000}">
      <formula1>"Production,Maintenance,QC"</formula1>
      <formula2>0</formula2>
    </dataValidation>
    <dataValidation type="list" showInputMessage="1" showErrorMessage="1" errorTitle="Invalid entry" error="Please select a value from the list." promptTitle="Requesting Department" prompt="Select the requesting department." sqref="E4:E18" xr:uid="{0ACF290E-A175-4700-BCA7-EC270106757B}">
      <formula1>"Production,Assembly,Maintenance,QC,Engineering"</formula1>
    </dataValidation>
    <dataValidation type="list" showInputMessage="1" showErrorMessage="1" sqref="N4:N18" xr:uid="{43B5D570-382E-4807-9678-538E69DC001E}">
      <formula1>$N$4:$N$18</formula1>
    </dataValidation>
    <dataValidation type="list" showInputMessage="1" showErrorMessage="1" errorTitle="Invalid entry" error="Please select a value from the list." promptTitle="Request Status" prompt="Current status of this request line." sqref="P4:P18" xr:uid="{F0057769-BB51-454C-9103-6767E9F343E6}">
      <formula1>"Open,Approved,Rejected,Fulfilled,Partially Issued"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xWindow="255" yWindow="458" count="1">
        <x14:dataValidation type="list" showInputMessage="1" showErrorMessage="1" errorTitle="Invalid entry" error="Please select a value from the list." promptTitle="Material Code" prompt="Select a valid material code from the master." xr:uid="{00000000-0002-0000-0600-000000000000}">
          <x14:formula1>
            <xm:f>'01_Master_Material'!$A$4:$A$23</xm:f>
          </x14:formula1>
          <x14:formula2>
            <xm:f>0</xm:f>
          </x14:formula2>
          <xm:sqref>E37:E507 E19:E21 G4:G18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8"/>
  <sheetViews>
    <sheetView showGridLines="0" zoomScaleNormal="100" workbookViewId="0">
      <selection activeCell="A2" sqref="A2"/>
    </sheetView>
  </sheetViews>
  <sheetFormatPr defaultColWidth="8.7109375" defaultRowHeight="15" x14ac:dyDescent="0.25"/>
  <cols>
    <col min="1" max="1" width="14" customWidth="1"/>
    <col min="2" max="2" width="6.7109375" customWidth="1"/>
    <col min="3" max="3" width="14.7109375" bestFit="1" customWidth="1"/>
    <col min="4" max="4" width="14.140625" bestFit="1" customWidth="1"/>
    <col min="5" max="5" width="8" customWidth="1"/>
    <col min="6" max="6" width="17.85546875" bestFit="1" customWidth="1"/>
    <col min="7" max="7" width="12" customWidth="1"/>
    <col min="8" max="8" width="30" customWidth="1"/>
    <col min="9" max="9" width="12.28515625" customWidth="1"/>
    <col min="10" max="10" width="18" customWidth="1"/>
    <col min="11" max="11" width="14" customWidth="1"/>
    <col min="12" max="13" width="16" customWidth="1"/>
    <col min="14" max="14" width="11.5703125" customWidth="1"/>
    <col min="15" max="15" width="13.42578125" customWidth="1"/>
    <col min="16" max="16" width="15.5703125" bestFit="1" customWidth="1"/>
    <col min="17" max="17" width="16" customWidth="1"/>
    <col min="18" max="18" width="24.7109375" bestFit="1" customWidth="1"/>
    <col min="19" max="19" width="16.85546875" customWidth="1"/>
    <col min="20" max="20" width="16.7109375" bestFit="1" customWidth="1"/>
  </cols>
  <sheetData>
    <row r="1" spans="1:19" ht="24" customHeight="1" x14ac:dyDescent="0.25">
      <c r="A1" s="109" t="s">
        <v>173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</row>
    <row r="3" spans="1:19" ht="31.5" customHeight="1" x14ac:dyDescent="0.25">
      <c r="A3" s="1" t="s">
        <v>174</v>
      </c>
      <c r="B3" s="1" t="s">
        <v>175</v>
      </c>
      <c r="C3" s="1" t="s">
        <v>176</v>
      </c>
      <c r="D3" s="1" t="s">
        <v>154</v>
      </c>
      <c r="E3" s="1" t="s">
        <v>155</v>
      </c>
      <c r="F3" s="1" t="s">
        <v>164</v>
      </c>
      <c r="G3" s="1" t="s">
        <v>1</v>
      </c>
      <c r="H3" s="1" t="s">
        <v>2</v>
      </c>
      <c r="I3" s="1" t="s">
        <v>4</v>
      </c>
      <c r="J3" s="1" t="s">
        <v>177</v>
      </c>
      <c r="K3" s="1" t="s">
        <v>178</v>
      </c>
      <c r="L3" s="1" t="s">
        <v>179</v>
      </c>
      <c r="M3" s="1" t="s">
        <v>447</v>
      </c>
      <c r="N3" s="1" t="s">
        <v>423</v>
      </c>
      <c r="O3" s="1" t="s">
        <v>180</v>
      </c>
      <c r="P3" s="1" t="s">
        <v>181</v>
      </c>
      <c r="Q3" s="1" t="s">
        <v>424</v>
      </c>
      <c r="R3" s="1" t="s">
        <v>124</v>
      </c>
      <c r="S3" s="1" t="s">
        <v>182</v>
      </c>
    </row>
    <row r="4" spans="1:19" x14ac:dyDescent="0.25">
      <c r="A4" s="6" t="s">
        <v>183</v>
      </c>
      <c r="B4" s="7">
        <v>10</v>
      </c>
      <c r="C4" s="8">
        <v>46255</v>
      </c>
      <c r="D4" s="6" t="s">
        <v>165</v>
      </c>
      <c r="E4" s="7">
        <v>10</v>
      </c>
      <c r="F4" s="17" t="str">
        <f>tbl_PickingList[[#This Row],[Request Number]]&amp;"-"&amp;tbl_PickingList[[#This Row],[Request Line]]</f>
        <v>MR-2026-0001-10</v>
      </c>
      <c r="G4" s="9" t="str">
        <f>_xlfn.XLOOKUP(tbl_PickingList[[#This Row],[Request Line Key (Helper)]],tbl_MaterialRequest[Request Line Key (Helper)],tbl_MaterialRequest[Material Code])</f>
        <v>MAT-00001</v>
      </c>
      <c r="H4" s="9" t="str">
        <f>_xlfn.XLOOKUP(tbl_PickingList[[#This Row],[Request Line Key (Helper)]],tbl_MaterialRequest[Request Line Key (Helper)],tbl_MaterialRequest[Material Description])</f>
        <v>Hydraulic Cylinder Seal Kit 80mm</v>
      </c>
      <c r="I4" s="9" t="str">
        <f>_xlfn.XLOOKUP(tbl_PickingList[[#This Row],[Request Line Key (Helper)]],tbl_MaterialRequest[Request Line Key (Helper)],tbl_MaterialRequest[Base UoM])</f>
        <v>PCS</v>
      </c>
      <c r="J4" s="9" t="str">
        <f>_xlfn.XLOOKUP(tbl_PickingList[[#This Row],[Request Line Key (Helper)]],tbl_MaterialRequest[Request Line Key (Helper)],tbl_MaterialRequest[Requesting Department])</f>
        <v>Production</v>
      </c>
      <c r="K4" s="10" t="str">
        <f>_xlfn.XLOOKUP(tbl_PickingList[[#This Row],[Request Line Key (Helper)]],tbl_MaterialRequest[Request Line Key (Helper)],tbl_MaterialRequest[Request Priority])</f>
        <v>Routine</v>
      </c>
      <c r="L4" s="12">
        <f>_xlfn.XLOOKUP(tbl_PickingList[[#This Row],[Request Line Key (Helper)]],tbl_MaterialRequest[Request Line Key (Helper)],tbl_MaterialRequest[Quantity Requested])</f>
        <v>4</v>
      </c>
      <c r="M4" s="73" t="str">
        <f>_xlfn.XLOOKUP(tbl_PickingList[[#This Row],[Material Code]],tbl_PutAway[Material Code],tbl_PutAway[To Location])</f>
        <v>A-01-01-01</v>
      </c>
      <c r="N4" s="97">
        <f>_xlfn.XLOOKUP(tbl_PickingList[[#This Row],[Material Code]],'10_Stock_Card'!F4:F32,'10_Stock_Card'!M4:M32,"",0,-1)</f>
        <v>76</v>
      </c>
      <c r="O4" s="11">
        <v>4</v>
      </c>
      <c r="P4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4" s="65" t="s">
        <v>318</v>
      </c>
      <c r="R4" s="6"/>
      <c r="S4" s="17" t="str">
        <f>tbl_PickingList[[#This Row],[Pick Number]]&amp;"-"&amp;tbl_PickingList[[#This Row],[Pick Line]]</f>
        <v>PL-2026-0001-10</v>
      </c>
    </row>
    <row r="5" spans="1:19" x14ac:dyDescent="0.25">
      <c r="A5" s="6" t="s">
        <v>183</v>
      </c>
      <c r="B5" s="7">
        <v>20</v>
      </c>
      <c r="C5" s="8">
        <v>46255</v>
      </c>
      <c r="D5" s="6" t="s">
        <v>165</v>
      </c>
      <c r="E5" s="7">
        <v>20</v>
      </c>
      <c r="F5" s="17" t="str">
        <f>tbl_PickingList[[#This Row],[Request Number]]&amp;"-"&amp;tbl_PickingList[[#This Row],[Request Line]]</f>
        <v>MR-2026-0001-20</v>
      </c>
      <c r="G5" s="9" t="str">
        <f>_xlfn.XLOOKUP(tbl_PickingList[[#This Row],[Request Line Key (Helper)]],tbl_MaterialRequest[Request Line Key (Helper)],tbl_MaterialRequest[Material Code])</f>
        <v>MAT-00008</v>
      </c>
      <c r="H5" s="9" t="str">
        <f>_xlfn.XLOOKUP(tbl_PickingList[[#This Row],[Request Line Key (Helper)]],tbl_MaterialRequest[Request Line Key (Helper)],tbl_MaterialRequest[Material Description])</f>
        <v>Hydraulic Hose 1/2in x 3m</v>
      </c>
      <c r="I5" s="9" t="str">
        <f>_xlfn.XLOOKUP(tbl_PickingList[[#This Row],[Request Line Key (Helper)]],tbl_MaterialRequest[Request Line Key (Helper)],tbl_MaterialRequest[Base UoM])</f>
        <v>PCS</v>
      </c>
      <c r="J5" s="9" t="str">
        <f>_xlfn.XLOOKUP(tbl_PickingList[[#This Row],[Request Line Key (Helper)]],tbl_MaterialRequest[Request Line Key (Helper)],tbl_MaterialRequest[Requesting Department])</f>
        <v>Production</v>
      </c>
      <c r="K5" s="10" t="str">
        <f>_xlfn.XLOOKUP(tbl_PickingList[[#This Row],[Request Line Key (Helper)]],tbl_MaterialRequest[Request Line Key (Helper)],tbl_MaterialRequest[Request Priority])</f>
        <v>Routine</v>
      </c>
      <c r="L5" s="12">
        <f>_xlfn.XLOOKUP(tbl_PickingList[[#This Row],[Request Line Key (Helper)]],tbl_MaterialRequest[Request Line Key (Helper)],tbl_MaterialRequest[Quantity Requested])</f>
        <v>5</v>
      </c>
      <c r="M5" s="73" t="str">
        <f>_xlfn.XLOOKUP(tbl_PickingList[[#This Row],[Material Code]],tbl_PutAway[Material Code],tbl_PutAway[To Location])</f>
        <v>A-01-02-01</v>
      </c>
      <c r="N5" s="97">
        <f>_xlfn.XLOOKUP(tbl_PickingList[[#This Row],[Material Code]],'10_Stock_Card'!F5:F33,'10_Stock_Card'!M5:M33,"",0,-1)</f>
        <v>55</v>
      </c>
      <c r="O5" s="11">
        <v>5</v>
      </c>
      <c r="P5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5" s="65" t="s">
        <v>318</v>
      </c>
      <c r="R5" s="6"/>
      <c r="S5" s="17" t="str">
        <f>tbl_PickingList[[#This Row],[Pick Number]]&amp;"-"&amp;tbl_PickingList[[#This Row],[Pick Line]]</f>
        <v>PL-2026-0001-20</v>
      </c>
    </row>
    <row r="6" spans="1:19" x14ac:dyDescent="0.25">
      <c r="A6" s="6" t="s">
        <v>184</v>
      </c>
      <c r="B6" s="7">
        <v>10</v>
      </c>
      <c r="C6" s="8">
        <v>46259</v>
      </c>
      <c r="D6" s="6" t="s">
        <v>169</v>
      </c>
      <c r="E6" s="7">
        <v>10</v>
      </c>
      <c r="F6" s="17" t="str">
        <f>tbl_PickingList[[#This Row],[Request Number]]&amp;"-"&amp;tbl_PickingList[[#This Row],[Request Line]]</f>
        <v>MR-2026-0002-10</v>
      </c>
      <c r="G6" s="9" t="str">
        <f>_xlfn.XLOOKUP(tbl_PickingList[[#This Row],[Request Line Key (Helper)]],tbl_MaterialRequest[Request Line Key (Helper)],tbl_MaterialRequest[Material Code])</f>
        <v>MAT-00003</v>
      </c>
      <c r="H6" s="9" t="str">
        <f>_xlfn.XLOOKUP(tbl_PickingList[[#This Row],[Request Line Key (Helper)]],tbl_MaterialRequest[Request Line Key (Helper)],tbl_MaterialRequest[Material Description])</f>
        <v>Engine Oil Filter (Cat 320D)</v>
      </c>
      <c r="I6" s="9" t="str">
        <f>_xlfn.XLOOKUP(tbl_PickingList[[#This Row],[Request Line Key (Helper)]],tbl_MaterialRequest[Request Line Key (Helper)],tbl_MaterialRequest[Base UoM])</f>
        <v>PCS</v>
      </c>
      <c r="J6" s="9" t="str">
        <f>_xlfn.XLOOKUP(tbl_PickingList[[#This Row],[Request Line Key (Helper)]],tbl_MaterialRequest[Request Line Key (Helper)],tbl_MaterialRequest[Requesting Department])</f>
        <v>Maintenance</v>
      </c>
      <c r="K6" s="10" t="str">
        <f>_xlfn.XLOOKUP(tbl_PickingList[[#This Row],[Request Line Key (Helper)]],tbl_MaterialRequest[Request Line Key (Helper)],tbl_MaterialRequest[Request Priority])</f>
        <v>Urgent</v>
      </c>
      <c r="L6" s="12">
        <f>_xlfn.XLOOKUP(tbl_PickingList[[#This Row],[Request Line Key (Helper)]],tbl_MaterialRequest[Request Line Key (Helper)],tbl_MaterialRequest[Quantity Requested])</f>
        <v>15</v>
      </c>
      <c r="M6" s="73" t="str">
        <f>_xlfn.XLOOKUP(tbl_PickingList[[#This Row],[Material Code]],tbl_PutAway[Material Code],tbl_PutAway[To Location])</f>
        <v>A-02-01-01</v>
      </c>
      <c r="N6" s="97">
        <f>_xlfn.XLOOKUP(tbl_PickingList[[#This Row],[Material Code]],'10_Stock_Card'!F6:F34,'10_Stock_Card'!M6:M34,"",0,-1)</f>
        <v>65</v>
      </c>
      <c r="O6" s="11">
        <v>15</v>
      </c>
      <c r="P6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6" s="65" t="s">
        <v>435</v>
      </c>
      <c r="R6" s="6" t="s">
        <v>425</v>
      </c>
      <c r="S6" s="17" t="str">
        <f>tbl_PickingList[[#This Row],[Pick Number]]&amp;"-"&amp;tbl_PickingList[[#This Row],[Pick Line]]</f>
        <v>PL-2026-0002-10</v>
      </c>
    </row>
    <row r="7" spans="1:19" x14ac:dyDescent="0.25">
      <c r="A7" s="6" t="s">
        <v>185</v>
      </c>
      <c r="B7" s="7">
        <v>10</v>
      </c>
      <c r="C7" s="8">
        <v>46263</v>
      </c>
      <c r="D7" s="6" t="s">
        <v>171</v>
      </c>
      <c r="E7" s="7">
        <v>10</v>
      </c>
      <c r="F7" s="17" t="str">
        <f>tbl_PickingList[[#This Row],[Request Number]]&amp;"-"&amp;tbl_PickingList[[#This Row],[Request Line]]</f>
        <v>MR-2026-0003-10</v>
      </c>
      <c r="G7" s="9" t="str">
        <f>_xlfn.XLOOKUP(tbl_PickingList[[#This Row],[Request Line Key (Helper)]],tbl_MaterialRequest[Request Line Key (Helper)],tbl_MaterialRequest[Material Code])</f>
        <v>MAT-00004</v>
      </c>
      <c r="H7" s="9" t="str">
        <f>_xlfn.XLOOKUP(tbl_PickingList[[#This Row],[Request Line Key (Helper)]],tbl_MaterialRequest[Request Line Key (Helper)],tbl_MaterialRequest[Material Description])</f>
        <v>Hex Bolt M12x50 Grade 8.8</v>
      </c>
      <c r="I7" s="9" t="str">
        <f>_xlfn.XLOOKUP(tbl_PickingList[[#This Row],[Request Line Key (Helper)]],tbl_MaterialRequest[Request Line Key (Helper)],tbl_MaterialRequest[Base UoM])</f>
        <v>PCS</v>
      </c>
      <c r="J7" s="9" t="str">
        <f>_xlfn.XLOOKUP(tbl_PickingList[[#This Row],[Request Line Key (Helper)]],tbl_MaterialRequest[Request Line Key (Helper)],tbl_MaterialRequest[Requesting Department])</f>
        <v>Production</v>
      </c>
      <c r="K7" s="10" t="str">
        <f>_xlfn.XLOOKUP(tbl_PickingList[[#This Row],[Request Line Key (Helper)]],tbl_MaterialRequest[Request Line Key (Helper)],tbl_MaterialRequest[Request Priority])</f>
        <v>Routine</v>
      </c>
      <c r="L7" s="12">
        <f>_xlfn.XLOOKUP(tbl_PickingList[[#This Row],[Request Line Key (Helper)]],tbl_MaterialRequest[Request Line Key (Helper)],tbl_MaterialRequest[Quantity Requested])</f>
        <v>1000</v>
      </c>
      <c r="M7" s="73" t="str">
        <f>_xlfn.XLOOKUP(tbl_PickingList[[#This Row],[Material Code]],tbl_PutAway[Material Code],tbl_PutAway[To Location])</f>
        <v>D-01-01-01</v>
      </c>
      <c r="N7" s="97">
        <f>_xlfn.XLOOKUP(tbl_PickingList[[#This Row],[Material Code]],'10_Stock_Card'!F7:F35,'10_Stock_Card'!M7:M35,"",0,-1)</f>
        <v>1500</v>
      </c>
      <c r="O7" s="11">
        <v>1000</v>
      </c>
      <c r="P7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7" s="65" t="s">
        <v>317</v>
      </c>
      <c r="R7" s="6"/>
      <c r="S7" s="17" t="str">
        <f>tbl_PickingList[[#This Row],[Pick Number]]&amp;"-"&amp;tbl_PickingList[[#This Row],[Pick Line]]</f>
        <v>PL-2026-0003-10</v>
      </c>
    </row>
    <row r="8" spans="1:19" x14ac:dyDescent="0.25">
      <c r="A8" s="6" t="s">
        <v>186</v>
      </c>
      <c r="B8" s="7">
        <v>10</v>
      </c>
      <c r="C8" s="8">
        <v>46265</v>
      </c>
      <c r="D8" s="6" t="s">
        <v>400</v>
      </c>
      <c r="E8" s="7">
        <v>10</v>
      </c>
      <c r="F8" s="17" t="str">
        <f>tbl_PickingList[[#This Row],[Request Number]]&amp;"-"&amp;tbl_PickingList[[#This Row],[Request Line]]</f>
        <v>MR-2026-0005-10</v>
      </c>
      <c r="G8" s="9" t="str">
        <f>_xlfn.XLOOKUP(tbl_PickingList[[#This Row],[Request Line Key (Helper)]],tbl_MaterialRequest[Request Line Key (Helper)],tbl_MaterialRequest[Material Code])</f>
        <v>MAT-00010</v>
      </c>
      <c r="H8" s="9" t="str">
        <f>_xlfn.XLOOKUP(tbl_PickingList[[#This Row],[Request Line Key (Helper)]],tbl_MaterialRequest[Request Line Key (Helper)],tbl_MaterialRequest[Material Description])</f>
        <v>Welding Electrode E7018 3.2mm</v>
      </c>
      <c r="I8" s="9" t="str">
        <f>_xlfn.XLOOKUP(tbl_PickingList[[#This Row],[Request Line Key (Helper)]],tbl_MaterialRequest[Request Line Key (Helper)],tbl_MaterialRequest[Base UoM])</f>
        <v>KG</v>
      </c>
      <c r="J8" s="9" t="str">
        <f>_xlfn.XLOOKUP(tbl_PickingList[[#This Row],[Request Line Key (Helper)]],tbl_MaterialRequest[Request Line Key (Helper)],tbl_MaterialRequest[Requesting Department])</f>
        <v>Production</v>
      </c>
      <c r="K8" s="10" t="str">
        <f>_xlfn.XLOOKUP(tbl_PickingList[[#This Row],[Request Line Key (Helper)]],tbl_MaterialRequest[Request Line Key (Helper)],tbl_MaterialRequest[Request Priority])</f>
        <v>Urgent</v>
      </c>
      <c r="L8" s="12">
        <f>_xlfn.XLOOKUP(tbl_PickingList[[#This Row],[Request Line Key (Helper)]],tbl_MaterialRequest[Request Line Key (Helper)],tbl_MaterialRequest[Quantity Requested])</f>
        <v>6</v>
      </c>
      <c r="M8" s="73" t="str">
        <f>_xlfn.XLOOKUP(tbl_PickingList[[#This Row],[Material Code]],tbl_PutAway[Material Code],tbl_PutAway[To Location])</f>
        <v>A-01-01-02</v>
      </c>
      <c r="N8" s="97">
        <f>_xlfn.XLOOKUP(tbl_PickingList[[#This Row],[Material Code]],'10_Stock_Card'!F8:F36,'10_Stock_Card'!M8:M36,"",0,-1)</f>
        <v>284</v>
      </c>
      <c r="O8" s="11">
        <v>6</v>
      </c>
      <c r="P8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8" s="65" t="s">
        <v>320</v>
      </c>
      <c r="R8" s="6"/>
      <c r="S8" s="17" t="str">
        <f>tbl_PickingList[[#This Row],[Pick Number]]&amp;"-"&amp;tbl_PickingList[[#This Row],[Pick Line]]</f>
        <v>PL-2026-0004-10</v>
      </c>
    </row>
    <row r="9" spans="1:19" x14ac:dyDescent="0.25">
      <c r="A9" s="6" t="s">
        <v>186</v>
      </c>
      <c r="B9" s="7">
        <v>20</v>
      </c>
      <c r="C9" s="8">
        <v>46265</v>
      </c>
      <c r="D9" s="6" t="s">
        <v>400</v>
      </c>
      <c r="E9" s="7">
        <v>20</v>
      </c>
      <c r="F9" s="17" t="str">
        <f>tbl_PickingList[[#This Row],[Request Number]]&amp;"-"&amp;tbl_PickingList[[#This Row],[Request Line]]</f>
        <v>MR-2026-0005-20</v>
      </c>
      <c r="G9" s="9" t="str">
        <f>_xlfn.XLOOKUP(tbl_PickingList[[#This Row],[Request Line Key (Helper)]],tbl_MaterialRequest[Request Line Key (Helper)],tbl_MaterialRequest[Material Code])</f>
        <v>MAT-00014</v>
      </c>
      <c r="H9" s="9" t="str">
        <f>_xlfn.XLOOKUP(tbl_PickingList[[#This Row],[Request Line Key (Helper)]],tbl_MaterialRequest[Request Line Key (Helper)],tbl_MaterialRequest[Material Description])</f>
        <v>Flat Washer M12 Zinc Plated</v>
      </c>
      <c r="I9" s="9" t="str">
        <f>_xlfn.XLOOKUP(tbl_PickingList[[#This Row],[Request Line Key (Helper)]],tbl_MaterialRequest[Request Line Key (Helper)],tbl_MaterialRequest[Base UoM])</f>
        <v>PCS</v>
      </c>
      <c r="J9" s="9" t="str">
        <f>_xlfn.XLOOKUP(tbl_PickingList[[#This Row],[Request Line Key (Helper)]],tbl_MaterialRequest[Request Line Key (Helper)],tbl_MaterialRequest[Requesting Department])</f>
        <v>Assembly</v>
      </c>
      <c r="K9" s="10" t="str">
        <f>_xlfn.XLOOKUP(tbl_PickingList[[#This Row],[Request Line Key (Helper)]],tbl_MaterialRequest[Request Line Key (Helper)],tbl_MaterialRequest[Request Priority])</f>
        <v>Routine</v>
      </c>
      <c r="L9" s="12">
        <f>_xlfn.XLOOKUP(tbl_PickingList[[#This Row],[Request Line Key (Helper)]],tbl_MaterialRequest[Request Line Key (Helper)],tbl_MaterialRequest[Quantity Requested])</f>
        <v>2000</v>
      </c>
      <c r="M9" s="73" t="str">
        <f>_xlfn.XLOOKUP(tbl_PickingList[[#This Row],[Material Code]],tbl_PutAway[Material Code],tbl_PutAway[To Location])</f>
        <v>D-01-01-02</v>
      </c>
      <c r="N9" s="97">
        <f>_xlfn.XLOOKUP(tbl_PickingList[[#This Row],[Material Code]],'10_Stock_Card'!F9:F37,'10_Stock_Card'!M9:M37,"",0,-1)</f>
        <v>3005</v>
      </c>
      <c r="O9" s="11">
        <v>2000</v>
      </c>
      <c r="P9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9" s="65" t="s">
        <v>320</v>
      </c>
      <c r="R9" s="6" t="s">
        <v>426</v>
      </c>
      <c r="S9" s="17" t="str">
        <f>tbl_PickingList[[#This Row],[Pick Number]]&amp;"-"&amp;tbl_PickingList[[#This Row],[Pick Line]]</f>
        <v>PL-2026-0004-20</v>
      </c>
    </row>
    <row r="10" spans="1:19" x14ac:dyDescent="0.25">
      <c r="A10" s="6" t="s">
        <v>427</v>
      </c>
      <c r="B10" s="7">
        <v>10</v>
      </c>
      <c r="C10" s="8">
        <v>46268</v>
      </c>
      <c r="D10" s="6" t="s">
        <v>401</v>
      </c>
      <c r="E10" s="7">
        <v>10</v>
      </c>
      <c r="F10" s="17" t="str">
        <f>tbl_PickingList[[#This Row],[Request Number]]&amp;"-"&amp;tbl_PickingList[[#This Row],[Request Line]]</f>
        <v>MR-2026-0006-10</v>
      </c>
      <c r="G10" s="9" t="str">
        <f>_xlfn.XLOOKUP(tbl_PickingList[[#This Row],[Request Line Key (Helper)]],tbl_MaterialRequest[Request Line Key (Helper)],tbl_MaterialRequest[Material Code])</f>
        <v>MAT-00002</v>
      </c>
      <c r="H10" s="9" t="str">
        <f>_xlfn.XLOOKUP(tbl_PickingList[[#This Row],[Request Line Key (Helper)]],tbl_MaterialRequest[Request Line Key (Helper)],tbl_MaterialRequest[Material Description])</f>
        <v>Steel Plate 10mm x 2m x 1m</v>
      </c>
      <c r="I10" s="9" t="str">
        <f>_xlfn.XLOOKUP(tbl_PickingList[[#This Row],[Request Line Key (Helper)]],tbl_MaterialRequest[Request Line Key (Helper)],tbl_MaterialRequest[Base UoM])</f>
        <v>PCS</v>
      </c>
      <c r="J10" s="9" t="str">
        <f>_xlfn.XLOOKUP(tbl_PickingList[[#This Row],[Request Line Key (Helper)]],tbl_MaterialRequest[Request Line Key (Helper)],tbl_MaterialRequest[Requesting Department])</f>
        <v>Maintenance</v>
      </c>
      <c r="K10" s="10" t="str">
        <f>_xlfn.XLOOKUP(tbl_PickingList[[#This Row],[Request Line Key (Helper)]],tbl_MaterialRequest[Request Line Key (Helper)],tbl_MaterialRequest[Request Priority])</f>
        <v>Routine</v>
      </c>
      <c r="L10" s="12">
        <f>_xlfn.XLOOKUP(tbl_PickingList[[#This Row],[Request Line Key (Helper)]],tbl_MaterialRequest[Request Line Key (Helper)],tbl_MaterialRequest[Quantity Requested])</f>
        <v>15</v>
      </c>
      <c r="M10" s="73" t="str">
        <f>_xlfn.XLOOKUP(tbl_PickingList[[#This Row],[Material Code]],tbl_PutAway[Material Code],tbl_PutAway[To Location])</f>
        <v>C-01-01</v>
      </c>
      <c r="N10" s="97">
        <f>_xlfn.XLOOKUP(tbl_PickingList[[#This Row],[Material Code]],'10_Stock_Card'!F10:F38,'10_Stock_Card'!M10:M38,"",0,-1)</f>
        <v>45</v>
      </c>
      <c r="O10" s="11">
        <v>15</v>
      </c>
      <c r="P10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0" s="65" t="s">
        <v>318</v>
      </c>
      <c r="R10" s="6"/>
      <c r="S10" s="17" t="str">
        <f>tbl_PickingList[[#This Row],[Pick Number]]&amp;"-"&amp;tbl_PickingList[[#This Row],[Pick Line]]</f>
        <v>PL-2026-0005-10</v>
      </c>
    </row>
    <row r="11" spans="1:19" x14ac:dyDescent="0.25">
      <c r="A11" s="6" t="s">
        <v>428</v>
      </c>
      <c r="B11" s="7">
        <v>10</v>
      </c>
      <c r="C11" s="8">
        <v>46275</v>
      </c>
      <c r="D11" s="6" t="s">
        <v>403</v>
      </c>
      <c r="E11" s="7">
        <v>10</v>
      </c>
      <c r="F11" s="17" t="str">
        <f>tbl_PickingList[[#This Row],[Request Number]]&amp;"-"&amp;tbl_PickingList[[#This Row],[Request Line]]</f>
        <v>MR-2026-0008-10</v>
      </c>
      <c r="G11" s="9" t="str">
        <f>_xlfn.XLOOKUP(tbl_PickingList[[#This Row],[Request Line Key (Helper)]],tbl_MaterialRequest[Request Line Key (Helper)],tbl_MaterialRequest[Material Code])</f>
        <v>MAT-00007</v>
      </c>
      <c r="H11" s="9" t="str">
        <f>_xlfn.XLOOKUP(tbl_PickingList[[#This Row],[Request Line Key (Helper)]],tbl_MaterialRequest[Request Line Key (Helper)],tbl_MaterialRequest[Material Description])</f>
        <v>Air Filter Element - Primary</v>
      </c>
      <c r="I11" s="9" t="str">
        <f>_xlfn.XLOOKUP(tbl_PickingList[[#This Row],[Request Line Key (Helper)]],tbl_MaterialRequest[Request Line Key (Helper)],tbl_MaterialRequest[Base UoM])</f>
        <v>PCS</v>
      </c>
      <c r="J11" s="9" t="str">
        <f>_xlfn.XLOOKUP(tbl_PickingList[[#This Row],[Request Line Key (Helper)]],tbl_MaterialRequest[Request Line Key (Helper)],tbl_MaterialRequest[Requesting Department])</f>
        <v>QC</v>
      </c>
      <c r="K11" s="10" t="str">
        <f>_xlfn.XLOOKUP(tbl_PickingList[[#This Row],[Request Line Key (Helper)]],tbl_MaterialRequest[Request Line Key (Helper)],tbl_MaterialRequest[Request Priority])</f>
        <v>Routine</v>
      </c>
      <c r="L11" s="12">
        <f>_xlfn.XLOOKUP(tbl_PickingList[[#This Row],[Request Line Key (Helper)]],tbl_MaterialRequest[Request Line Key (Helper)],tbl_MaterialRequest[Quantity Requested])</f>
        <v>8</v>
      </c>
      <c r="M11" s="73" t="str">
        <f>_xlfn.XLOOKUP(tbl_PickingList[[#This Row],[Material Code]],tbl_PutAway[Material Code],tbl_PutAway[To Location])</f>
        <v>A-02-01-02</v>
      </c>
      <c r="N11" s="97">
        <f>_xlfn.XLOOKUP(tbl_PickingList[[#This Row],[Material Code]],'10_Stock_Card'!F11:F39,'10_Stock_Card'!M11:M39,"",0,-1)</f>
        <v>52</v>
      </c>
      <c r="O11" s="11">
        <v>8</v>
      </c>
      <c r="P11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1" s="65" t="s">
        <v>317</v>
      </c>
      <c r="R11" s="6" t="s">
        <v>429</v>
      </c>
      <c r="S11" s="17" t="str">
        <f>tbl_PickingList[[#This Row],[Pick Number]]&amp;"-"&amp;tbl_PickingList[[#This Row],[Pick Line]]</f>
        <v>PL-2026-0006-10</v>
      </c>
    </row>
    <row r="12" spans="1:19" x14ac:dyDescent="0.25">
      <c r="A12" s="6" t="s">
        <v>430</v>
      </c>
      <c r="B12" s="7">
        <v>10</v>
      </c>
      <c r="C12" s="8">
        <v>46278</v>
      </c>
      <c r="D12" s="6" t="s">
        <v>404</v>
      </c>
      <c r="E12" s="7">
        <v>10</v>
      </c>
      <c r="F12" s="17" t="str">
        <f>tbl_PickingList[[#This Row],[Request Number]]&amp;"-"&amp;tbl_PickingList[[#This Row],[Request Line]]</f>
        <v>MR-2026-0009-10</v>
      </c>
      <c r="G12" s="9" t="str">
        <f>_xlfn.XLOOKUP(tbl_PickingList[[#This Row],[Request Line Key (Helper)]],tbl_MaterialRequest[Request Line Key (Helper)],tbl_MaterialRequest[Material Code])</f>
        <v>MAT-00006</v>
      </c>
      <c r="H12" s="9" t="str">
        <f>_xlfn.XLOOKUP(tbl_PickingList[[#This Row],[Request Line Key (Helper)]],tbl_MaterialRequest[Request Line Key (Helper)],tbl_MaterialRequest[Material Description])</f>
        <v>Track Roller Assembly</v>
      </c>
      <c r="I12" s="9" t="str">
        <f>_xlfn.XLOOKUP(tbl_PickingList[[#This Row],[Request Line Key (Helper)]],tbl_MaterialRequest[Request Line Key (Helper)],tbl_MaterialRequest[Base UoM])</f>
        <v>PCS</v>
      </c>
      <c r="J12" s="9" t="str">
        <f>_xlfn.XLOOKUP(tbl_PickingList[[#This Row],[Request Line Key (Helper)]],tbl_MaterialRequest[Request Line Key (Helper)],tbl_MaterialRequest[Requesting Department])</f>
        <v>Production</v>
      </c>
      <c r="K12" s="10" t="str">
        <f>_xlfn.XLOOKUP(tbl_PickingList[[#This Row],[Request Line Key (Helper)]],tbl_MaterialRequest[Request Line Key (Helper)],tbl_MaterialRequest[Request Priority])</f>
        <v>Urgent</v>
      </c>
      <c r="L12" s="12">
        <f>_xlfn.XLOOKUP(tbl_PickingList[[#This Row],[Request Line Key (Helper)]],tbl_MaterialRequest[Request Line Key (Helper)],tbl_MaterialRequest[Quantity Requested])</f>
        <v>15</v>
      </c>
      <c r="M12" s="73" t="str">
        <f>_xlfn.XLOOKUP(tbl_PickingList[[#This Row],[Material Code]],tbl_PutAway[Material Code],tbl_PutAway[To Location])</f>
        <v>B-01-01-01</v>
      </c>
      <c r="N12" s="97">
        <f>_xlfn.XLOOKUP(tbl_PickingList[[#This Row],[Material Code]],'10_Stock_Card'!F12:F40,'10_Stock_Card'!M12:M40,"",0,-1)</f>
        <v>28</v>
      </c>
      <c r="O12" s="11">
        <v>15</v>
      </c>
      <c r="P12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2" s="65" t="s">
        <v>320</v>
      </c>
      <c r="R12" s="6" t="s">
        <v>431</v>
      </c>
      <c r="S12" s="17" t="str">
        <f>tbl_PickingList[[#This Row],[Pick Number]]&amp;"-"&amp;tbl_PickingList[[#This Row],[Pick Line]]</f>
        <v>PL-2026-0007-10</v>
      </c>
    </row>
    <row r="13" spans="1:19" x14ac:dyDescent="0.25">
      <c r="A13" s="6" t="s">
        <v>432</v>
      </c>
      <c r="B13" s="7">
        <v>10</v>
      </c>
      <c r="C13" s="8">
        <v>46285</v>
      </c>
      <c r="D13" s="6" t="s">
        <v>406</v>
      </c>
      <c r="E13" s="7">
        <v>10</v>
      </c>
      <c r="F13" s="17" t="str">
        <f>tbl_PickingList[[#This Row],[Request Number]]&amp;"-"&amp;tbl_PickingList[[#This Row],[Request Line]]</f>
        <v>MR-2026-0011-10</v>
      </c>
      <c r="G13" s="9" t="str">
        <f>_xlfn.XLOOKUP(tbl_PickingList[[#This Row],[Request Line Key (Helper)]],tbl_MaterialRequest[Request Line Key (Helper)],tbl_MaterialRequest[Material Code])</f>
        <v>MAT-00012</v>
      </c>
      <c r="H13" s="9" t="str">
        <f>_xlfn.XLOOKUP(tbl_PickingList[[#This Row],[Request Line Key (Helper)]],tbl_MaterialRequest[Request Line Key (Helper)],tbl_MaterialRequest[Material Description])</f>
        <v>Bucket Teeth (CAT style)</v>
      </c>
      <c r="I13" s="9" t="str">
        <f>_xlfn.XLOOKUP(tbl_PickingList[[#This Row],[Request Line Key (Helper)]],tbl_MaterialRequest[Request Line Key (Helper)],tbl_MaterialRequest[Base UoM])</f>
        <v>PCS</v>
      </c>
      <c r="J13" s="9" t="str">
        <f>_xlfn.XLOOKUP(tbl_PickingList[[#This Row],[Request Line Key (Helper)]],tbl_MaterialRequest[Request Line Key (Helper)],tbl_MaterialRequest[Requesting Department])</f>
        <v>Production</v>
      </c>
      <c r="K13" s="10" t="str">
        <f>_xlfn.XLOOKUP(tbl_PickingList[[#This Row],[Request Line Key (Helper)]],tbl_MaterialRequest[Request Line Key (Helper)],tbl_MaterialRequest[Request Priority])</f>
        <v>Routine</v>
      </c>
      <c r="L13" s="12">
        <f>_xlfn.XLOOKUP(tbl_PickingList[[#This Row],[Request Line Key (Helper)]],tbl_MaterialRequest[Request Line Key (Helper)],tbl_MaterialRequest[Quantity Requested])</f>
        <v>22</v>
      </c>
      <c r="M13" s="73" t="str">
        <f>_xlfn.XLOOKUP(tbl_PickingList[[#This Row],[Material Code]],tbl_PutAway[Material Code],tbl_PutAway[To Location])</f>
        <v>B-02-01-01</v>
      </c>
      <c r="N13" s="97">
        <f>_xlfn.XLOOKUP(tbl_PickingList[[#This Row],[Material Code]],'10_Stock_Card'!F13:F41,'10_Stock_Card'!M13:M41,"",0,-1)</f>
        <v>38</v>
      </c>
      <c r="O13" s="11">
        <v>22</v>
      </c>
      <c r="P13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3" s="65" t="s">
        <v>435</v>
      </c>
      <c r="R13" s="6" t="s">
        <v>417</v>
      </c>
      <c r="S13" s="17" t="str">
        <f>tbl_PickingList[[#This Row],[Pick Number]]&amp;"-"&amp;tbl_PickingList[[#This Row],[Pick Line]]</f>
        <v>PL-2026-0008-10</v>
      </c>
    </row>
    <row r="14" spans="1:19" x14ac:dyDescent="0.25">
      <c r="A14" s="6" t="s">
        <v>433</v>
      </c>
      <c r="B14" s="7">
        <v>10</v>
      </c>
      <c r="C14" s="8">
        <v>46288</v>
      </c>
      <c r="D14" s="6" t="s">
        <v>407</v>
      </c>
      <c r="E14" s="7">
        <v>10</v>
      </c>
      <c r="F14" s="17" t="str">
        <f>tbl_PickingList[[#This Row],[Request Number]]&amp;"-"&amp;tbl_PickingList[[#This Row],[Request Line]]</f>
        <v>MR-2026-0012-10</v>
      </c>
      <c r="G14" s="9" t="str">
        <f>_xlfn.XLOOKUP(tbl_PickingList[[#This Row],[Request Line Key (Helper)]],tbl_MaterialRequest[Request Line Key (Helper)],tbl_MaterialRequest[Material Code])</f>
        <v>MAT-00013</v>
      </c>
      <c r="H14" s="9" t="str">
        <f>_xlfn.XLOOKUP(tbl_PickingList[[#This Row],[Request Line Key (Helper)]],tbl_MaterialRequest[Request Line Key (Helper)],tbl_MaterialRequest[Material Description])</f>
        <v>Radiator Coolant 20L</v>
      </c>
      <c r="I14" s="9" t="str">
        <f>_xlfn.XLOOKUP(tbl_PickingList[[#This Row],[Request Line Key (Helper)]],tbl_MaterialRequest[Request Line Key (Helper)],tbl_MaterialRequest[Base UoM])</f>
        <v>LTR</v>
      </c>
      <c r="J14" s="9" t="str">
        <f>_xlfn.XLOOKUP(tbl_PickingList[[#This Row],[Request Line Key (Helper)]],tbl_MaterialRequest[Request Line Key (Helper)],tbl_MaterialRequest[Requesting Department])</f>
        <v>Maintenance</v>
      </c>
      <c r="K14" s="10" t="str">
        <f>_xlfn.XLOOKUP(tbl_PickingList[[#This Row],[Request Line Key (Helper)]],tbl_MaterialRequest[Request Line Key (Helper)],tbl_MaterialRequest[Request Priority])</f>
        <v>Routine</v>
      </c>
      <c r="L14" s="12">
        <f>_xlfn.XLOOKUP(tbl_PickingList[[#This Row],[Request Line Key (Helper)]],tbl_MaterialRequest[Request Line Key (Helper)],tbl_MaterialRequest[Quantity Requested])</f>
        <v>15</v>
      </c>
      <c r="M14" s="73" t="str">
        <f>_xlfn.XLOOKUP(tbl_PickingList[[#This Row],[Material Code]],tbl_PutAway[Material Code],tbl_PutAway[To Location])</f>
        <v>D-02-01-02</v>
      </c>
      <c r="N14" s="97">
        <f>_xlfn.XLOOKUP(tbl_PickingList[[#This Row],[Material Code]],'10_Stock_Card'!F14:F42,'10_Stock_Card'!M14:M42,"",0,-1)</f>
        <v>105</v>
      </c>
      <c r="O14" s="11">
        <v>15</v>
      </c>
      <c r="P14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4" s="65" t="s">
        <v>318</v>
      </c>
      <c r="R14" s="6"/>
      <c r="S14" s="17" t="str">
        <f>tbl_PickingList[[#This Row],[Pick Number]]&amp;"-"&amp;tbl_PickingList[[#This Row],[Pick Line]]</f>
        <v>PL-2026-0009-10</v>
      </c>
    </row>
    <row r="15" spans="1:19" x14ac:dyDescent="0.25">
      <c r="A15" s="6" t="s">
        <v>434</v>
      </c>
      <c r="B15" s="7">
        <v>10</v>
      </c>
      <c r="C15" s="8">
        <v>46289</v>
      </c>
      <c r="D15" s="6" t="s">
        <v>462</v>
      </c>
      <c r="E15" s="7">
        <v>10</v>
      </c>
      <c r="F15" s="17" t="str">
        <f>tbl_PickingList[[#This Row],[Request Number]]&amp;"-"&amp;tbl_PickingList[[#This Row],[Request Line]]</f>
        <v>MR-2026-0013-10</v>
      </c>
      <c r="G15" s="75" t="str">
        <f>_xlfn.XLOOKUP(tbl_PickingList[[#This Row],[Request Line Key (Helper)]],tbl_MaterialRequest[Request Line Key (Helper)],tbl_MaterialRequest[Material Code])</f>
        <v>MAT-00015</v>
      </c>
      <c r="H15" s="75" t="str">
        <f>_xlfn.XLOOKUP(tbl_PickingList[[#This Row],[Request Line Key (Helper)]],tbl_MaterialRequest[Request Line Key (Helper)],tbl_MaterialRequest[Material Description])</f>
        <v>Turbocharger Assembly (Cat C15)</v>
      </c>
      <c r="I15" s="75" t="str">
        <f>_xlfn.XLOOKUP(tbl_PickingList[[#This Row],[Request Line Key (Helper)]],tbl_MaterialRequest[Request Line Key (Helper)],tbl_MaterialRequest[Base UoM])</f>
        <v>PCS</v>
      </c>
      <c r="J15" s="75" t="str">
        <f>_xlfn.XLOOKUP(tbl_PickingList[[#This Row],[Request Line Key (Helper)]],tbl_MaterialRequest[Request Line Key (Helper)],tbl_MaterialRequest[Requesting Department])</f>
        <v>Production</v>
      </c>
      <c r="K15" s="87" t="str">
        <f>_xlfn.XLOOKUP(tbl_PickingList[[#This Row],[Request Line Key (Helper)]],tbl_MaterialRequest[Request Line Key (Helper)],tbl_MaterialRequest[Request Priority])</f>
        <v>Routine</v>
      </c>
      <c r="L15" s="12">
        <f>_xlfn.XLOOKUP(tbl_PickingList[[#This Row],[Request Line Key (Helper)]],tbl_MaterialRequest[Request Line Key (Helper)],tbl_MaterialRequest[Quantity Requested])</f>
        <v>3</v>
      </c>
      <c r="M15" s="73" t="str">
        <f>_xlfn.XLOOKUP(tbl_PickingList[[#This Row],[Material Code]],tbl_PutAway[Material Code],tbl_PutAway[To Location])</f>
        <v>B-01-01-02</v>
      </c>
      <c r="N15" s="97">
        <f>_xlfn.XLOOKUP(tbl_PickingList[[#This Row],[Material Code]],'10_Stock_Card'!F15:F43,'10_Stock_Card'!M15:M43,"",0,-1)</f>
        <v>27</v>
      </c>
      <c r="O15" s="11">
        <v>3</v>
      </c>
      <c r="P15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5" s="65" t="s">
        <v>320</v>
      </c>
      <c r="R15" s="6"/>
      <c r="S15" s="17" t="str">
        <f>tbl_PickingList[[#This Row],[Pick Number]]&amp;"-"&amp;tbl_PickingList[[#This Row],[Pick Line]]</f>
        <v>PL-2026-0010-10</v>
      </c>
    </row>
    <row r="16" spans="1:19" x14ac:dyDescent="0.25">
      <c r="M16" s="74"/>
      <c r="N16" s="99"/>
    </row>
    <row r="17" spans="1:14" x14ac:dyDescent="0.25">
      <c r="N17" s="99"/>
    </row>
    <row r="18" spans="1:14" x14ac:dyDescent="0.25">
      <c r="A18" s="4" t="s">
        <v>67</v>
      </c>
    </row>
  </sheetData>
  <mergeCells count="1">
    <mergeCell ref="A1:S1"/>
  </mergeCells>
  <phoneticPr fontId="10" type="noConversion"/>
  <conditionalFormatting sqref="K4:K18 K80:K507">
    <cfRule type="expression" dxfId="31" priority="2">
      <formula>$K4="Urgent"</formula>
    </cfRule>
  </conditionalFormatting>
  <conditionalFormatting sqref="P4:P15">
    <cfRule type="expression" dxfId="30" priority="88">
      <formula>$P4="Fully Picked"</formula>
    </cfRule>
  </conditionalFormatting>
  <conditionalFormatting sqref="P4:Q15">
    <cfRule type="expression" dxfId="29" priority="87">
      <formula>$P4="Partially Picked"</formula>
    </cfRule>
    <cfRule type="expression" dxfId="28" priority="89">
      <formula>$P4="Not Picked"</formula>
    </cfRule>
  </conditionalFormatting>
  <conditionalFormatting sqref="Q16:Q17 Q80:Q507">
    <cfRule type="expression" dxfId="27" priority="4">
      <formula>$Q16="Partially Picked"</formula>
    </cfRule>
    <cfRule type="expression" dxfId="26" priority="5">
      <formula>$Q16="Fully Picked"</formula>
    </cfRule>
    <cfRule type="expression" dxfId="25" priority="6">
      <formula>$Q16="Not Picked"</formula>
    </cfRule>
  </conditionalFormatting>
  <dataValidations xWindow="439" yWindow="359" count="1">
    <dataValidation type="list" showInputMessage="1" showErrorMessage="1" sqref="Q4:Q15" xr:uid="{58918349-80FC-4285-9E62-46F757043F89}">
      <formula1>"Andi,Budi,Rizky,Dimas"</formula1>
    </dataValidation>
  </dataValidation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439" yWindow="359" count="4">
        <x14:dataValidation type="list" showInputMessage="1" showErrorMessage="1" errorTitle="Invalid entry" error="Please select a value from the list." promptTitle="Request Number" prompt="Select the Material Request Number this pick is against." xr:uid="{00000000-0002-0000-0700-000000000000}">
          <x14:formula1>
            <xm:f>'07_Material_Request'!#REF!</xm:f>
          </x14:formula1>
          <x14:formula2>
            <xm:f>0</xm:f>
          </x14:formula2>
          <xm:sqref>D80:D507 D16:D18</xm:sqref>
        </x14:dataValidation>
        <x14:dataValidation type="list" showInputMessage="1" showErrorMessage="1" prompt="Select the picking location for the goods." xr:uid="{E2CB462F-09F9-4243-AAA4-073FE83A0AE8}">
          <x14:formula1>
            <xm:f>'03_Master_Location'!$A$4:$A$24</xm:f>
          </x14:formula1>
          <xm:sqref>M4:M15</xm:sqref>
        </x14:dataValidation>
        <x14:dataValidation type="list" showInputMessage="1" showErrorMessage="1" errorTitle="Invalid entry" error="Please select a value from the list." promptTitle="Request Line" prompt="Select the Material Request Line this pick is against." xr:uid="{00000000-0002-0000-0700-000001000000}">
          <x14:formula1>
            <xm:f>'07_Material_Request'!$B$4:$B$18</xm:f>
          </x14:formula1>
          <x14:formula2>
            <xm:f>0</xm:f>
          </x14:formula2>
          <xm:sqref>E80:E507 E4:E18</xm:sqref>
        </x14:dataValidation>
        <x14:dataValidation type="list" showInputMessage="1" showErrorMessage="1" errorTitle="Invalid entry" error="Please select a value from the list." promptTitle="Request Number" prompt="Select the Material Request Number this pick is against." xr:uid="{7275AB02-BB6A-4CFC-9884-2BE5BBFADFD1}">
          <x14:formula1>
            <xm:f>'07_Material_Request'!$A$4:$A$18</xm:f>
          </x14:formula1>
          <xm:sqref>D4:D15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41"/>
  <sheetViews>
    <sheetView showGridLines="0" zoomScale="90" zoomScaleNormal="90" workbookViewId="0">
      <pane ySplit="3" topLeftCell="A4" activePane="bottomLeft" state="frozen"/>
      <selection pane="bottomLeft" activeCell="A2" sqref="A2"/>
    </sheetView>
  </sheetViews>
  <sheetFormatPr defaultColWidth="8.7109375" defaultRowHeight="15" x14ac:dyDescent="0.25"/>
  <cols>
    <col min="1" max="1" width="14" customWidth="1"/>
    <col min="2" max="2" width="8" customWidth="1"/>
    <col min="3" max="3" width="12" customWidth="1"/>
    <col min="4" max="4" width="13.7109375" customWidth="1"/>
    <col min="5" max="5" width="7.42578125" customWidth="1"/>
    <col min="6" max="6" width="17" customWidth="1"/>
    <col min="7" max="7" width="8.28515625" customWidth="1"/>
    <col min="8" max="8" width="16.7109375" bestFit="1" customWidth="1"/>
    <col min="9" max="9" width="12.42578125" customWidth="1"/>
    <col min="10" max="10" width="30.28515625" customWidth="1"/>
    <col min="11" max="11" width="9" customWidth="1"/>
    <col min="12" max="12" width="15" customWidth="1"/>
    <col min="13" max="13" width="18" customWidth="1"/>
    <col min="14" max="14" width="16.28515625" customWidth="1"/>
    <col min="15" max="16" width="14" customWidth="1"/>
    <col min="17" max="17" width="14.5703125" customWidth="1"/>
    <col min="18" max="18" width="17.7109375" customWidth="1"/>
    <col min="19" max="19" width="16.140625" customWidth="1"/>
    <col min="20" max="20" width="46" bestFit="1" customWidth="1"/>
    <col min="21" max="21" width="17.42578125" customWidth="1"/>
    <col min="22" max="22" width="16.7109375" hidden="1" customWidth="1"/>
  </cols>
  <sheetData>
    <row r="1" spans="1:22" ht="24" customHeight="1" x14ac:dyDescent="0.25">
      <c r="A1" s="109" t="s">
        <v>187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</row>
    <row r="3" spans="1:22" ht="31.5" customHeight="1" x14ac:dyDescent="0.25">
      <c r="A3" s="1" t="s">
        <v>188</v>
      </c>
      <c r="B3" s="1" t="s">
        <v>189</v>
      </c>
      <c r="C3" s="1" t="s">
        <v>190</v>
      </c>
      <c r="D3" s="1" t="s">
        <v>174</v>
      </c>
      <c r="E3" s="1" t="s">
        <v>175</v>
      </c>
      <c r="F3" s="1" t="s">
        <v>154</v>
      </c>
      <c r="G3" s="1" t="s">
        <v>155</v>
      </c>
      <c r="H3" s="1" t="s">
        <v>182</v>
      </c>
      <c r="I3" s="1" t="s">
        <v>1</v>
      </c>
      <c r="J3" s="1" t="s">
        <v>2</v>
      </c>
      <c r="K3" s="1" t="s">
        <v>4</v>
      </c>
      <c r="L3" s="1" t="s">
        <v>191</v>
      </c>
      <c r="M3" s="1" t="s">
        <v>177</v>
      </c>
      <c r="N3" s="1" t="s">
        <v>192</v>
      </c>
      <c r="O3" s="1" t="s">
        <v>193</v>
      </c>
      <c r="P3" s="1" t="s">
        <v>194</v>
      </c>
      <c r="Q3" s="1" t="s">
        <v>437</v>
      </c>
      <c r="R3" s="1" t="s">
        <v>436</v>
      </c>
      <c r="S3" s="1" t="s">
        <v>314</v>
      </c>
      <c r="T3" s="1" t="s">
        <v>124</v>
      </c>
      <c r="U3" s="1" t="s">
        <v>195</v>
      </c>
      <c r="V3" s="1" t="s">
        <v>466</v>
      </c>
    </row>
    <row r="4" spans="1:22" x14ac:dyDescent="0.25">
      <c r="A4" s="6" t="s">
        <v>196</v>
      </c>
      <c r="B4" s="7">
        <v>10</v>
      </c>
      <c r="C4" s="8">
        <v>46255</v>
      </c>
      <c r="D4" s="6" t="s">
        <v>183</v>
      </c>
      <c r="E4" s="7">
        <v>10</v>
      </c>
      <c r="F4" s="8" t="str">
        <f>_xlfn.XLOOKUP(tbl_GoodsIssue[[#This Row],[Pick Line Key (Helper)]],tbl_PickingList[Pick Line Key (Helper)],tbl_PickingList[Request Number])</f>
        <v>MR-2026-0001</v>
      </c>
      <c r="G4" s="69">
        <f>_xlfn.XLOOKUP(tbl_GoodsIssue[[#This Row],[Pick Line Key (Helper)]],tbl_PickingList[Pick Line Key (Helper)],tbl_PickingList[Request Line])</f>
        <v>10</v>
      </c>
      <c r="H4" s="17" t="str">
        <f>D4&amp;"-"&amp;E4</f>
        <v>PL-2026-0001-10</v>
      </c>
      <c r="I4" s="9" t="str">
        <f>_xlfn.XLOOKUP(tbl_GoodsIssue[[#This Row],[Pick Line Key (Helper)]],tbl_PickingList[Pick Line Key (Helper)],tbl_PickingList[Material Code])</f>
        <v>MAT-00001</v>
      </c>
      <c r="J4" s="9" t="str">
        <f>_xlfn.XLOOKUP(tbl_GoodsIssue[[#This Row],[Material Code]],tbl_MasterMaterial[Material Code],tbl_MasterMaterial[Material Description])</f>
        <v>Hydraulic Cylinder Seal Kit 80mm</v>
      </c>
      <c r="K4" s="10" t="str">
        <f>_xlfn.XLOOKUP(tbl_GoodsIssue[[#This Row],[Material Code]],tbl_MasterMaterial[Material Code],tbl_MasterMaterial[Base UoM])</f>
        <v>PCS</v>
      </c>
      <c r="L4" s="88" t="str">
        <f>_xlfn.XLOOKUP(tbl_GoodsIssue[[#This Row],[Pick Line Key (Helper)]],tbl_PickingList[Pick Line Key (Helper)],tbl_PickingList[[Pick Location ]])</f>
        <v>A-01-01-01</v>
      </c>
      <c r="M4" s="9" t="str">
        <f>_xlfn.XLOOKUP(tbl_GoodsIssue[[#This Row],[Pick Line Key (Helper)]],tbl_PickingList[Pick Line Key (Helper)],tbl_PickingList[Requesting Department (Ref)])</f>
        <v>Production</v>
      </c>
      <c r="N4" s="12">
        <f>_xlfn.XLOOKUP(tbl_GoodsIssue[[#This Row],[Pick Line Key (Helper)]],tbl_PickingList[Pick Line Key (Helper)],tbl_PickingList[Quantity Picked])</f>
        <v>4</v>
      </c>
      <c r="O4" s="11">
        <v>4</v>
      </c>
      <c r="P4" s="102">
        <f>tbl_GoodsIssue[[#This Row],[Quantity Issued]]-tbl_GoodsIssue[[#This Row],[Quantity Picked (Ref)]]</f>
        <v>0</v>
      </c>
      <c r="Q4" s="63" t="str">
        <f>IF(tbl_GoodsIssue[[#This Row],[Quantity Issued]]&lt;tbl_GoodsIssue[[#This Row],[Quantity Picked (Ref)]],"Partial","Completed")</f>
        <v>Completed</v>
      </c>
      <c r="R4" s="7" t="s">
        <v>318</v>
      </c>
      <c r="S4" s="7" t="s">
        <v>421</v>
      </c>
      <c r="T4" s="6"/>
      <c r="U4" s="17" t="str">
        <f>tbl_GoodsIssue[[#This Row],[GI Number]]&amp;"-"&amp;tbl_GoodsIssue[[#This Row],[GI Line]]</f>
        <v>GI-2026-0001-10</v>
      </c>
      <c r="V4" s="96" t="str">
        <f>tbl_GoodsIssue[[#This Row],[Request Number]]&amp;"-"&amp;tbl_GoodsIssue[[#This Row],[Request Line]]</f>
        <v>MR-2026-0001-10</v>
      </c>
    </row>
    <row r="5" spans="1:22" x14ac:dyDescent="0.25">
      <c r="A5" s="6" t="s">
        <v>196</v>
      </c>
      <c r="B5" s="7">
        <v>20</v>
      </c>
      <c r="C5" s="8">
        <v>46255</v>
      </c>
      <c r="D5" s="6" t="s">
        <v>183</v>
      </c>
      <c r="E5" s="7">
        <v>20</v>
      </c>
      <c r="F5" s="8" t="str">
        <f>_xlfn.XLOOKUP(tbl_GoodsIssue[[#This Row],[Pick Line Key (Helper)]],tbl_PickingList[Pick Line Key (Helper)],tbl_PickingList[Request Number])</f>
        <v>MR-2026-0001</v>
      </c>
      <c r="G5" s="69">
        <f>_xlfn.XLOOKUP(tbl_GoodsIssue[[#This Row],[Pick Line Key (Helper)]],tbl_PickingList[Pick Line Key (Helper)],tbl_PickingList[Request Line])</f>
        <v>20</v>
      </c>
      <c r="H5" s="17" t="str">
        <f>D5&amp;"-"&amp;E5</f>
        <v>PL-2026-0001-20</v>
      </c>
      <c r="I5" s="9" t="str">
        <f>_xlfn.XLOOKUP(tbl_GoodsIssue[[#This Row],[Pick Line Key (Helper)]],tbl_PickingList[Pick Line Key (Helper)],tbl_PickingList[Material Code])</f>
        <v>MAT-00008</v>
      </c>
      <c r="J5" s="9" t="str">
        <f>_xlfn.XLOOKUP(tbl_GoodsIssue[[#This Row],[Material Code]],tbl_MasterMaterial[Material Code],tbl_MasterMaterial[Material Description])</f>
        <v>Hydraulic Hose 1/2in x 3m</v>
      </c>
      <c r="K5" s="10" t="str">
        <f>_xlfn.XLOOKUP(tbl_GoodsIssue[[#This Row],[Material Code]],tbl_MasterMaterial[Material Code],tbl_MasterMaterial[Base UoM])</f>
        <v>PCS</v>
      </c>
      <c r="L5" s="88" t="str">
        <f>_xlfn.XLOOKUP(tbl_GoodsIssue[[#This Row],[Pick Line Key (Helper)]],tbl_PickingList[Pick Line Key (Helper)],tbl_PickingList[[Pick Location ]])</f>
        <v>A-01-02-01</v>
      </c>
      <c r="M5" s="9" t="str">
        <f>_xlfn.XLOOKUP(tbl_GoodsIssue[[#This Row],[Pick Line Key (Helper)]],tbl_PickingList[Pick Line Key (Helper)],tbl_PickingList[Requesting Department (Ref)])</f>
        <v>Production</v>
      </c>
      <c r="N5" s="12">
        <f>_xlfn.XLOOKUP(tbl_GoodsIssue[[#This Row],[Pick Line Key (Helper)]],tbl_PickingList[Pick Line Key (Helper)],tbl_PickingList[Quantity Picked])</f>
        <v>5</v>
      </c>
      <c r="O5" s="11">
        <v>5</v>
      </c>
      <c r="P5" s="102">
        <f>tbl_GoodsIssue[[#This Row],[Quantity Issued]]-tbl_GoodsIssue[[#This Row],[Quantity Picked (Ref)]]</f>
        <v>0</v>
      </c>
      <c r="Q5" s="63" t="str">
        <f>IF(tbl_GoodsIssue[[#This Row],[Quantity Issued]]&lt;tbl_GoodsIssue[[#This Row],[Quantity Picked (Ref)]],"Partial","Completed")</f>
        <v>Completed</v>
      </c>
      <c r="R5" s="7" t="s">
        <v>318</v>
      </c>
      <c r="S5" s="7" t="s">
        <v>421</v>
      </c>
      <c r="T5" s="6"/>
      <c r="U5" s="17" t="str">
        <f>tbl_GoodsIssue[[#This Row],[GI Number]]&amp;"-"&amp;tbl_GoodsIssue[[#This Row],[GI Line]]</f>
        <v>GI-2026-0001-20</v>
      </c>
      <c r="V5" s="96" t="str">
        <f>tbl_GoodsIssue[[#This Row],[Request Number]]&amp;"-"&amp;tbl_GoodsIssue[[#This Row],[Request Line]]</f>
        <v>MR-2026-0001-20</v>
      </c>
    </row>
    <row r="6" spans="1:22" x14ac:dyDescent="0.25">
      <c r="A6" s="6" t="s">
        <v>197</v>
      </c>
      <c r="B6" s="7">
        <v>10</v>
      </c>
      <c r="C6" s="8">
        <v>46259</v>
      </c>
      <c r="D6" s="6" t="s">
        <v>184</v>
      </c>
      <c r="E6" s="7">
        <v>10</v>
      </c>
      <c r="F6" s="66" t="str">
        <f>_xlfn.XLOOKUP(tbl_GoodsIssue[[#This Row],[Pick Line Key (Helper)]],tbl_PickingList[Pick Line Key (Helper)],tbl_PickingList[Request Number])</f>
        <v>MR-2026-0002</v>
      </c>
      <c r="G6" s="70">
        <f>_xlfn.XLOOKUP(tbl_GoodsIssue[[#This Row],[Pick Line Key (Helper)]],tbl_PickingList[Pick Line Key (Helper)],tbl_PickingList[Request Line])</f>
        <v>10</v>
      </c>
      <c r="H6" s="67" t="str">
        <f t="shared" ref="H6:H9" si="0">D6&amp;"-"&amp;E6</f>
        <v>PL-2026-0002-10</v>
      </c>
      <c r="I6" s="9" t="str">
        <f>_xlfn.XLOOKUP(tbl_GoodsIssue[[#This Row],[Pick Line Key (Helper)]],tbl_PickingList[Pick Line Key (Helper)],tbl_PickingList[Material Code])</f>
        <v>MAT-00003</v>
      </c>
      <c r="J6" s="9" t="str">
        <f>_xlfn.XLOOKUP(tbl_GoodsIssue[[#This Row],[Material Code]],tbl_MasterMaterial[Material Code],tbl_MasterMaterial[Material Description])</f>
        <v>Engine Oil Filter (Cat 320D)</v>
      </c>
      <c r="K6" s="10" t="str">
        <f>_xlfn.XLOOKUP(tbl_GoodsIssue[[#This Row],[Material Code]],tbl_MasterMaterial[Material Code],tbl_MasterMaterial[Base UoM])</f>
        <v>PCS</v>
      </c>
      <c r="L6" s="88" t="str">
        <f>_xlfn.XLOOKUP(tbl_GoodsIssue[[#This Row],[Pick Line Key (Helper)]],tbl_PickingList[Pick Line Key (Helper)],tbl_PickingList[[Pick Location ]])</f>
        <v>A-02-01-01</v>
      </c>
      <c r="M6" s="9" t="str">
        <f>_xlfn.XLOOKUP(tbl_GoodsIssue[[#This Row],[Pick Line Key (Helper)]],tbl_PickingList[Pick Line Key (Helper)],tbl_PickingList[Requesting Department (Ref)])</f>
        <v>Maintenance</v>
      </c>
      <c r="N6" s="12">
        <f>_xlfn.XLOOKUP(tbl_GoodsIssue[[#This Row],[Pick Line Key (Helper)]],tbl_PickingList[Pick Line Key (Helper)],tbl_PickingList[Quantity Picked])</f>
        <v>15</v>
      </c>
      <c r="O6" s="11">
        <v>15</v>
      </c>
      <c r="P6" s="102">
        <f>tbl_GoodsIssue[[#This Row],[Quantity Issued]]-tbl_GoodsIssue[[#This Row],[Quantity Picked (Ref)]]</f>
        <v>0</v>
      </c>
      <c r="Q6" s="68" t="str">
        <f>IF(tbl_GoodsIssue[[#This Row],[Quantity Issued]]&lt;tbl_GoodsIssue[[#This Row],[Quantity Picked (Ref)]],"Partial","Completed")</f>
        <v>Completed</v>
      </c>
      <c r="R6" s="69" t="s">
        <v>435</v>
      </c>
      <c r="S6" s="7" t="s">
        <v>422</v>
      </c>
      <c r="T6" s="6" t="s">
        <v>438</v>
      </c>
      <c r="U6" s="17" t="str">
        <f>tbl_GoodsIssue[[#This Row],[GI Number]]&amp;"-"&amp;tbl_GoodsIssue[[#This Row],[GI Line]]</f>
        <v>GI-2026-0002-10</v>
      </c>
      <c r="V6" s="96" t="str">
        <f>tbl_GoodsIssue[[#This Row],[Request Number]]&amp;"-"&amp;tbl_GoodsIssue[[#This Row],[Request Line]]</f>
        <v>MR-2026-0002-10</v>
      </c>
    </row>
    <row r="7" spans="1:22" x14ac:dyDescent="0.25">
      <c r="A7" s="6" t="s">
        <v>198</v>
      </c>
      <c r="B7" s="7">
        <v>10</v>
      </c>
      <c r="C7" s="8">
        <v>46263</v>
      </c>
      <c r="D7" s="6" t="s">
        <v>185</v>
      </c>
      <c r="E7" s="7">
        <v>10</v>
      </c>
      <c r="F7" s="66" t="str">
        <f>_xlfn.XLOOKUP(tbl_GoodsIssue[[#This Row],[Pick Line Key (Helper)]],tbl_PickingList[Pick Line Key (Helper)],tbl_PickingList[Request Number])</f>
        <v>MR-2026-0003</v>
      </c>
      <c r="G7" s="70">
        <f>_xlfn.XLOOKUP(tbl_GoodsIssue[[#This Row],[Pick Line Key (Helper)]],tbl_PickingList[Pick Line Key (Helper)],tbl_PickingList[Request Line])</f>
        <v>10</v>
      </c>
      <c r="H7" s="67" t="str">
        <f t="shared" si="0"/>
        <v>PL-2026-0003-10</v>
      </c>
      <c r="I7" s="9" t="str">
        <f>_xlfn.XLOOKUP(tbl_GoodsIssue[[#This Row],[Pick Line Key (Helper)]],tbl_PickingList[Pick Line Key (Helper)],tbl_PickingList[Material Code])</f>
        <v>MAT-00004</v>
      </c>
      <c r="J7" s="9" t="str">
        <f>_xlfn.XLOOKUP(tbl_GoodsIssue[[#This Row],[Material Code]],tbl_MasterMaterial[Material Code],tbl_MasterMaterial[Material Description])</f>
        <v>Hex Bolt M12x50 Grade 8.8</v>
      </c>
      <c r="K7" s="10" t="str">
        <f>_xlfn.XLOOKUP(tbl_GoodsIssue[[#This Row],[Material Code]],tbl_MasterMaterial[Material Code],tbl_MasterMaterial[Base UoM])</f>
        <v>PCS</v>
      </c>
      <c r="L7" s="88" t="str">
        <f>_xlfn.XLOOKUP(tbl_GoodsIssue[[#This Row],[Pick Line Key (Helper)]],tbl_PickingList[Pick Line Key (Helper)],tbl_PickingList[[Pick Location ]])</f>
        <v>D-01-01-01</v>
      </c>
      <c r="M7" s="9" t="str">
        <f>_xlfn.XLOOKUP(tbl_GoodsIssue[[#This Row],[Pick Line Key (Helper)]],tbl_PickingList[Pick Line Key (Helper)],tbl_PickingList[Requesting Department (Ref)])</f>
        <v>Production</v>
      </c>
      <c r="N7" s="12">
        <f>_xlfn.XLOOKUP(tbl_GoodsIssue[[#This Row],[Pick Line Key (Helper)]],tbl_PickingList[Pick Line Key (Helper)],tbl_PickingList[Quantity Picked])</f>
        <v>1000</v>
      </c>
      <c r="O7" s="11">
        <v>1000</v>
      </c>
      <c r="P7" s="102">
        <f>tbl_GoodsIssue[[#This Row],[Quantity Issued]]-tbl_GoodsIssue[[#This Row],[Quantity Picked (Ref)]]</f>
        <v>0</v>
      </c>
      <c r="Q7" s="68" t="str">
        <f>IF(tbl_GoodsIssue[[#This Row],[Quantity Issued]]&lt;tbl_GoodsIssue[[#This Row],[Quantity Picked (Ref)]],"Partial","Completed")</f>
        <v>Completed</v>
      </c>
      <c r="R7" s="69" t="s">
        <v>317</v>
      </c>
      <c r="S7" s="7" t="s">
        <v>418</v>
      </c>
      <c r="T7" s="6"/>
      <c r="U7" s="17" t="str">
        <f>tbl_GoodsIssue[[#This Row],[GI Number]]&amp;"-"&amp;tbl_GoodsIssue[[#This Row],[GI Line]]</f>
        <v>GI-2026-0003-10</v>
      </c>
      <c r="V7" s="96" t="str">
        <f>tbl_GoodsIssue[[#This Row],[Request Number]]&amp;"-"&amp;tbl_GoodsIssue[[#This Row],[Request Line]]</f>
        <v>MR-2026-0003-10</v>
      </c>
    </row>
    <row r="8" spans="1:22" x14ac:dyDescent="0.25">
      <c r="A8" s="6" t="s">
        <v>199</v>
      </c>
      <c r="B8" s="7">
        <v>10</v>
      </c>
      <c r="C8" s="8">
        <v>46265</v>
      </c>
      <c r="D8" s="6" t="s">
        <v>186</v>
      </c>
      <c r="E8" s="7">
        <v>10</v>
      </c>
      <c r="F8" s="66" t="str">
        <f>_xlfn.XLOOKUP(tbl_GoodsIssue[[#This Row],[Pick Line Key (Helper)]],tbl_PickingList[Pick Line Key (Helper)],tbl_PickingList[Request Number])</f>
        <v>MR-2026-0005</v>
      </c>
      <c r="G8" s="70">
        <f>_xlfn.XLOOKUP(tbl_GoodsIssue[[#This Row],[Pick Line Key (Helper)]],tbl_PickingList[Pick Line Key (Helper)],tbl_PickingList[Request Line])</f>
        <v>10</v>
      </c>
      <c r="H8" s="67" t="str">
        <f t="shared" si="0"/>
        <v>PL-2026-0004-10</v>
      </c>
      <c r="I8" s="9" t="str">
        <f>_xlfn.XLOOKUP(tbl_GoodsIssue[[#This Row],[Pick Line Key (Helper)]],tbl_PickingList[Pick Line Key (Helper)],tbl_PickingList[Material Code])</f>
        <v>MAT-00010</v>
      </c>
      <c r="J8" s="9" t="str">
        <f>_xlfn.XLOOKUP(tbl_GoodsIssue[[#This Row],[Material Code]],tbl_MasterMaterial[Material Code],tbl_MasterMaterial[Material Description])</f>
        <v>Welding Electrode E7018 3.2mm</v>
      </c>
      <c r="K8" s="10" t="str">
        <f>_xlfn.XLOOKUP(tbl_GoodsIssue[[#This Row],[Material Code]],tbl_MasterMaterial[Material Code],tbl_MasterMaterial[Base UoM])</f>
        <v>KG</v>
      </c>
      <c r="L8" s="88" t="str">
        <f>_xlfn.XLOOKUP(tbl_GoodsIssue[[#This Row],[Pick Line Key (Helper)]],tbl_PickingList[Pick Line Key (Helper)],tbl_PickingList[[Pick Location ]])</f>
        <v>A-01-01-02</v>
      </c>
      <c r="M8" s="9" t="str">
        <f>_xlfn.XLOOKUP(tbl_GoodsIssue[[#This Row],[Pick Line Key (Helper)]],tbl_PickingList[Pick Line Key (Helper)],tbl_PickingList[Requesting Department (Ref)])</f>
        <v>Production</v>
      </c>
      <c r="N8" s="12">
        <f>_xlfn.XLOOKUP(tbl_GoodsIssue[[#This Row],[Pick Line Key (Helper)]],tbl_PickingList[Pick Line Key (Helper)],tbl_PickingList[Quantity Picked])</f>
        <v>6</v>
      </c>
      <c r="O8" s="11">
        <v>6</v>
      </c>
      <c r="P8" s="102">
        <f>tbl_GoodsIssue[[#This Row],[Quantity Issued]]-tbl_GoodsIssue[[#This Row],[Quantity Picked (Ref)]]</f>
        <v>0</v>
      </c>
      <c r="Q8" s="68" t="str">
        <f>IF(tbl_GoodsIssue[[#This Row],[Quantity Issued]]&lt;tbl_GoodsIssue[[#This Row],[Quantity Picked (Ref)]],"Partial","Completed")</f>
        <v>Completed</v>
      </c>
      <c r="R8" s="69" t="s">
        <v>320</v>
      </c>
      <c r="S8" s="7" t="s">
        <v>418</v>
      </c>
      <c r="T8" s="6"/>
      <c r="U8" s="17" t="str">
        <f>tbl_GoodsIssue[[#This Row],[GI Number]]&amp;"-"&amp;tbl_GoodsIssue[[#This Row],[GI Line]]</f>
        <v>GI-2026-0004-10</v>
      </c>
      <c r="V8" s="96" t="str">
        <f>tbl_GoodsIssue[[#This Row],[Request Number]]&amp;"-"&amp;tbl_GoodsIssue[[#This Row],[Request Line]]</f>
        <v>MR-2026-0005-10</v>
      </c>
    </row>
    <row r="9" spans="1:22" x14ac:dyDescent="0.25">
      <c r="A9" s="6" t="s">
        <v>199</v>
      </c>
      <c r="B9" s="7">
        <v>20</v>
      </c>
      <c r="C9" s="8">
        <v>46265</v>
      </c>
      <c r="D9" s="6" t="s">
        <v>186</v>
      </c>
      <c r="E9" s="7">
        <v>20</v>
      </c>
      <c r="F9" s="66" t="str">
        <f>_xlfn.XLOOKUP(tbl_GoodsIssue[[#This Row],[Pick Line Key (Helper)]],tbl_PickingList[Pick Line Key (Helper)],tbl_PickingList[Request Number])</f>
        <v>MR-2026-0005</v>
      </c>
      <c r="G9" s="70">
        <f>_xlfn.XLOOKUP(tbl_GoodsIssue[[#This Row],[Pick Line Key (Helper)]],tbl_PickingList[Pick Line Key (Helper)],tbl_PickingList[Request Line])</f>
        <v>20</v>
      </c>
      <c r="H9" s="67" t="str">
        <f t="shared" si="0"/>
        <v>PL-2026-0004-20</v>
      </c>
      <c r="I9" s="9" t="str">
        <f>_xlfn.XLOOKUP(tbl_GoodsIssue[[#This Row],[Pick Line Key (Helper)]],tbl_PickingList[Pick Line Key (Helper)],tbl_PickingList[Material Code])</f>
        <v>MAT-00014</v>
      </c>
      <c r="J9" s="9" t="str">
        <f>_xlfn.XLOOKUP(tbl_GoodsIssue[[#This Row],[Material Code]],tbl_MasterMaterial[Material Code],tbl_MasterMaterial[Material Description])</f>
        <v>Flat Washer M12 Zinc Plated</v>
      </c>
      <c r="K9" s="10" t="str">
        <f>_xlfn.XLOOKUP(tbl_GoodsIssue[[#This Row],[Material Code]],tbl_MasterMaterial[Material Code],tbl_MasterMaterial[Base UoM])</f>
        <v>PCS</v>
      </c>
      <c r="L9" s="88" t="str">
        <f>_xlfn.XLOOKUP(tbl_GoodsIssue[[#This Row],[Pick Line Key (Helper)]],tbl_PickingList[Pick Line Key (Helper)],tbl_PickingList[[Pick Location ]])</f>
        <v>D-01-01-02</v>
      </c>
      <c r="M9" s="9" t="str">
        <f>_xlfn.XLOOKUP(tbl_GoodsIssue[[#This Row],[Pick Line Key (Helper)]],tbl_PickingList[Pick Line Key (Helper)],tbl_PickingList[Requesting Department (Ref)])</f>
        <v>Assembly</v>
      </c>
      <c r="N9" s="12">
        <f>_xlfn.XLOOKUP(tbl_GoodsIssue[[#This Row],[Pick Line Key (Helper)]],tbl_PickingList[Pick Line Key (Helper)],tbl_PickingList[Quantity Picked])</f>
        <v>2000</v>
      </c>
      <c r="O9" s="11">
        <v>1995</v>
      </c>
      <c r="P9" s="102">
        <f>tbl_GoodsIssue[[#This Row],[Quantity Issued]]-tbl_GoodsIssue[[#This Row],[Quantity Picked (Ref)]]</f>
        <v>-5</v>
      </c>
      <c r="Q9" s="68" t="str">
        <f>IF(tbl_GoodsIssue[[#This Row],[Quantity Issued]]&lt;tbl_GoodsIssue[[#This Row],[Quantity Picked (Ref)]],"Partial","Completed")</f>
        <v>Partial</v>
      </c>
      <c r="R9" s="69" t="s">
        <v>320</v>
      </c>
      <c r="S9" s="7" t="s">
        <v>419</v>
      </c>
      <c r="T9" s="6" t="s">
        <v>439</v>
      </c>
      <c r="U9" s="17" t="str">
        <f>tbl_GoodsIssue[[#This Row],[GI Number]]&amp;"-"&amp;tbl_GoodsIssue[[#This Row],[GI Line]]</f>
        <v>GI-2026-0004-20</v>
      </c>
      <c r="V9" s="96" t="str">
        <f>tbl_GoodsIssue[[#This Row],[Request Number]]&amp;"-"&amp;tbl_GoodsIssue[[#This Row],[Request Line]]</f>
        <v>MR-2026-0005-20</v>
      </c>
    </row>
    <row r="10" spans="1:22" x14ac:dyDescent="0.25">
      <c r="A10" s="6" t="s">
        <v>440</v>
      </c>
      <c r="B10" s="7">
        <v>10</v>
      </c>
      <c r="C10" s="8">
        <v>46268</v>
      </c>
      <c r="D10" s="6" t="s">
        <v>427</v>
      </c>
      <c r="E10" s="7">
        <v>10</v>
      </c>
      <c r="F10" s="66" t="str">
        <f>_xlfn.XLOOKUP(tbl_GoodsIssue[[#This Row],[Pick Line Key (Helper)]],tbl_PickingList[Pick Line Key (Helper)],tbl_PickingList[Request Number])</f>
        <v>MR-2026-0006</v>
      </c>
      <c r="G10" s="70">
        <f>_xlfn.XLOOKUP(tbl_GoodsIssue[[#This Row],[Pick Line Key (Helper)]],tbl_PickingList[Pick Line Key (Helper)],tbl_PickingList[Request Line])</f>
        <v>10</v>
      </c>
      <c r="H10" s="67" t="str">
        <f t="shared" ref="H10:H12" si="1">D10&amp;"-"&amp;E10</f>
        <v>PL-2026-0005-10</v>
      </c>
      <c r="I10" s="9" t="str">
        <f>_xlfn.XLOOKUP(tbl_GoodsIssue[[#This Row],[Pick Line Key (Helper)]],tbl_PickingList[Pick Line Key (Helper)],tbl_PickingList[Material Code])</f>
        <v>MAT-00002</v>
      </c>
      <c r="J10" s="9" t="str">
        <f>_xlfn.XLOOKUP(tbl_GoodsIssue[[#This Row],[Material Code]],tbl_MasterMaterial[Material Code],tbl_MasterMaterial[Material Description])</f>
        <v>Steel Plate 10mm x 2m x 1m</v>
      </c>
      <c r="K10" s="10" t="str">
        <f>_xlfn.XLOOKUP(tbl_GoodsIssue[[#This Row],[Material Code]],tbl_MasterMaterial[Material Code],tbl_MasterMaterial[Base UoM])</f>
        <v>PCS</v>
      </c>
      <c r="L10" s="88" t="str">
        <f>_xlfn.XLOOKUP(tbl_GoodsIssue[[#This Row],[Pick Line Key (Helper)]],tbl_PickingList[Pick Line Key (Helper)],tbl_PickingList[[Pick Location ]])</f>
        <v>C-01-01</v>
      </c>
      <c r="M10" s="9" t="str">
        <f>_xlfn.XLOOKUP(tbl_GoodsIssue[[#This Row],[Pick Line Key (Helper)]],tbl_PickingList[Pick Line Key (Helper)],tbl_PickingList[Requesting Department (Ref)])</f>
        <v>Maintenance</v>
      </c>
      <c r="N10" s="12">
        <f>_xlfn.XLOOKUP(tbl_GoodsIssue[[#This Row],[Pick Line Key (Helper)]],tbl_PickingList[Pick Line Key (Helper)],tbl_PickingList[Quantity Picked])</f>
        <v>15</v>
      </c>
      <c r="O10" s="11">
        <v>15</v>
      </c>
      <c r="P10" s="102">
        <f>tbl_GoodsIssue[[#This Row],[Quantity Issued]]-tbl_GoodsIssue[[#This Row],[Quantity Picked (Ref)]]</f>
        <v>0</v>
      </c>
      <c r="Q10" s="68" t="str">
        <f>IF(tbl_GoodsIssue[[#This Row],[Quantity Issued]]&lt;tbl_GoodsIssue[[#This Row],[Quantity Picked (Ref)]],"Partial","Completed")</f>
        <v>Completed</v>
      </c>
      <c r="R10" s="69" t="s">
        <v>318</v>
      </c>
      <c r="S10" s="7" t="s">
        <v>422</v>
      </c>
      <c r="T10" s="6"/>
      <c r="U10" s="17" t="str">
        <f>tbl_GoodsIssue[[#This Row],[GI Number]]&amp;"-"&amp;tbl_GoodsIssue[[#This Row],[GI Line]]</f>
        <v>GI-2026-0005-10</v>
      </c>
      <c r="V10" s="96" t="str">
        <f>tbl_GoodsIssue[[#This Row],[Request Number]]&amp;"-"&amp;tbl_GoodsIssue[[#This Row],[Request Line]]</f>
        <v>MR-2026-0006-10</v>
      </c>
    </row>
    <row r="11" spans="1:22" x14ac:dyDescent="0.25">
      <c r="A11" s="6" t="s">
        <v>441</v>
      </c>
      <c r="B11" s="7">
        <v>10</v>
      </c>
      <c r="C11" s="8">
        <v>46275</v>
      </c>
      <c r="D11" s="6" t="s">
        <v>428</v>
      </c>
      <c r="E11" s="7">
        <v>10</v>
      </c>
      <c r="F11" s="66" t="str">
        <f>_xlfn.XLOOKUP(tbl_GoodsIssue[[#This Row],[Pick Line Key (Helper)]],tbl_PickingList[Pick Line Key (Helper)],tbl_PickingList[Request Number])</f>
        <v>MR-2026-0008</v>
      </c>
      <c r="G11" s="70">
        <f>_xlfn.XLOOKUP(tbl_GoodsIssue[[#This Row],[Pick Line Key (Helper)]],tbl_PickingList[Pick Line Key (Helper)],tbl_PickingList[Request Line])</f>
        <v>10</v>
      </c>
      <c r="H11" s="67" t="str">
        <f t="shared" si="1"/>
        <v>PL-2026-0006-10</v>
      </c>
      <c r="I11" s="9" t="str">
        <f>_xlfn.XLOOKUP(tbl_GoodsIssue[[#This Row],[Pick Line Key (Helper)]],tbl_PickingList[Pick Line Key (Helper)],tbl_PickingList[Material Code])</f>
        <v>MAT-00007</v>
      </c>
      <c r="J11" s="9" t="str">
        <f>_xlfn.XLOOKUP(tbl_GoodsIssue[[#This Row],[Material Code]],tbl_MasterMaterial[Material Code],tbl_MasterMaterial[Material Description])</f>
        <v>Air Filter Element - Primary</v>
      </c>
      <c r="K11" s="10" t="str">
        <f>_xlfn.XLOOKUP(tbl_GoodsIssue[[#This Row],[Material Code]],tbl_MasterMaterial[Material Code],tbl_MasterMaterial[Base UoM])</f>
        <v>PCS</v>
      </c>
      <c r="L11" s="88" t="str">
        <f>_xlfn.XLOOKUP(tbl_GoodsIssue[[#This Row],[Pick Line Key (Helper)]],tbl_PickingList[Pick Line Key (Helper)],tbl_PickingList[[Pick Location ]])</f>
        <v>A-02-01-02</v>
      </c>
      <c r="M11" s="9" t="str">
        <f>_xlfn.XLOOKUP(tbl_GoodsIssue[[#This Row],[Pick Line Key (Helper)]],tbl_PickingList[Pick Line Key (Helper)],tbl_PickingList[Requesting Department (Ref)])</f>
        <v>QC</v>
      </c>
      <c r="N11" s="12">
        <f>_xlfn.XLOOKUP(tbl_GoodsIssue[[#This Row],[Pick Line Key (Helper)]],tbl_PickingList[Pick Line Key (Helper)],tbl_PickingList[Quantity Picked])</f>
        <v>8</v>
      </c>
      <c r="O11" s="11">
        <v>8</v>
      </c>
      <c r="P11" s="102">
        <f>tbl_GoodsIssue[[#This Row],[Quantity Issued]]-tbl_GoodsIssue[[#This Row],[Quantity Picked (Ref)]]</f>
        <v>0</v>
      </c>
      <c r="Q11" s="68" t="str">
        <f>IF(tbl_GoodsIssue[[#This Row],[Quantity Issued]]&lt;tbl_GoodsIssue[[#This Row],[Quantity Picked (Ref)]],"Partial","Completed")</f>
        <v>Completed</v>
      </c>
      <c r="R11" s="69" t="s">
        <v>317</v>
      </c>
      <c r="S11" s="7" t="s">
        <v>420</v>
      </c>
      <c r="T11" s="6" t="s">
        <v>429</v>
      </c>
      <c r="U11" s="17" t="str">
        <f>tbl_GoodsIssue[[#This Row],[GI Number]]&amp;"-"&amp;tbl_GoodsIssue[[#This Row],[GI Line]]</f>
        <v>GI-2026-0006-10</v>
      </c>
      <c r="V11" s="96" t="str">
        <f>tbl_GoodsIssue[[#This Row],[Request Number]]&amp;"-"&amp;tbl_GoodsIssue[[#This Row],[Request Line]]</f>
        <v>MR-2026-0008-10</v>
      </c>
    </row>
    <row r="12" spans="1:22" x14ac:dyDescent="0.25">
      <c r="A12" s="6" t="s">
        <v>442</v>
      </c>
      <c r="B12" s="7">
        <v>10</v>
      </c>
      <c r="C12" s="8">
        <v>46278</v>
      </c>
      <c r="D12" s="6" t="s">
        <v>430</v>
      </c>
      <c r="E12" s="7">
        <v>10</v>
      </c>
      <c r="F12" s="66" t="str">
        <f>_xlfn.XLOOKUP(tbl_GoodsIssue[[#This Row],[Pick Line Key (Helper)]],tbl_PickingList[Pick Line Key (Helper)],tbl_PickingList[Request Number])</f>
        <v>MR-2026-0009</v>
      </c>
      <c r="G12" s="70">
        <f>_xlfn.XLOOKUP(tbl_GoodsIssue[[#This Row],[Pick Line Key (Helper)]],tbl_PickingList[Pick Line Key (Helper)],tbl_PickingList[Request Line])</f>
        <v>10</v>
      </c>
      <c r="H12" s="67" t="str">
        <f t="shared" si="1"/>
        <v>PL-2026-0007-10</v>
      </c>
      <c r="I12" s="9" t="str">
        <f>_xlfn.XLOOKUP(tbl_GoodsIssue[[#This Row],[Pick Line Key (Helper)]],tbl_PickingList[Pick Line Key (Helper)],tbl_PickingList[Material Code])</f>
        <v>MAT-00006</v>
      </c>
      <c r="J12" s="9" t="str">
        <f>_xlfn.XLOOKUP(tbl_GoodsIssue[[#This Row],[Material Code]],tbl_MasterMaterial[Material Code],tbl_MasterMaterial[Material Description])</f>
        <v>Track Roller Assembly</v>
      </c>
      <c r="K12" s="10" t="str">
        <f>_xlfn.XLOOKUP(tbl_GoodsIssue[[#This Row],[Material Code]],tbl_MasterMaterial[Material Code],tbl_MasterMaterial[Base UoM])</f>
        <v>PCS</v>
      </c>
      <c r="L12" s="88" t="str">
        <f>_xlfn.XLOOKUP(tbl_GoodsIssue[[#This Row],[Pick Line Key (Helper)]],tbl_PickingList[Pick Line Key (Helper)],tbl_PickingList[[Pick Location ]])</f>
        <v>B-01-01-01</v>
      </c>
      <c r="M12" s="9" t="str">
        <f>_xlfn.XLOOKUP(tbl_GoodsIssue[[#This Row],[Pick Line Key (Helper)]],tbl_PickingList[Pick Line Key (Helper)],tbl_PickingList[Requesting Department (Ref)])</f>
        <v>Production</v>
      </c>
      <c r="N12" s="12">
        <f>_xlfn.XLOOKUP(tbl_GoodsIssue[[#This Row],[Pick Line Key (Helper)]],tbl_PickingList[Pick Line Key (Helper)],tbl_PickingList[Quantity Picked])</f>
        <v>15</v>
      </c>
      <c r="O12" s="11">
        <v>15</v>
      </c>
      <c r="P12" s="102">
        <f>tbl_GoodsIssue[[#This Row],[Quantity Issued]]-tbl_GoodsIssue[[#This Row],[Quantity Picked (Ref)]]</f>
        <v>0</v>
      </c>
      <c r="Q12" s="68" t="str">
        <f>IF(tbl_GoodsIssue[[#This Row],[Quantity Issued]]&lt;tbl_GoodsIssue[[#This Row],[Quantity Picked (Ref)]],"Partial","Completed")</f>
        <v>Completed</v>
      </c>
      <c r="R12" s="69" t="s">
        <v>320</v>
      </c>
      <c r="S12" s="7" t="s">
        <v>418</v>
      </c>
      <c r="T12" s="6" t="s">
        <v>431</v>
      </c>
      <c r="U12" s="17" t="str">
        <f>tbl_GoodsIssue[[#This Row],[GI Number]]&amp;"-"&amp;tbl_GoodsIssue[[#This Row],[GI Line]]</f>
        <v>GI-2026-0007-10</v>
      </c>
      <c r="V12" s="96" t="str">
        <f>tbl_GoodsIssue[[#This Row],[Request Number]]&amp;"-"&amp;tbl_GoodsIssue[[#This Row],[Request Line]]</f>
        <v>MR-2026-0009-10</v>
      </c>
    </row>
    <row r="13" spans="1:22" x14ac:dyDescent="0.25">
      <c r="A13" s="6" t="s">
        <v>443</v>
      </c>
      <c r="B13" s="7">
        <v>10</v>
      </c>
      <c r="C13" s="8">
        <v>46285</v>
      </c>
      <c r="D13" s="6" t="s">
        <v>432</v>
      </c>
      <c r="E13" s="7">
        <v>10</v>
      </c>
      <c r="F13" s="66" t="str">
        <f>_xlfn.XLOOKUP(tbl_GoodsIssue[[#This Row],[Pick Line Key (Helper)]],tbl_PickingList[Pick Line Key (Helper)],tbl_PickingList[Request Number])</f>
        <v>MR-2026-0011</v>
      </c>
      <c r="G13" s="69">
        <f>_xlfn.XLOOKUP(tbl_GoodsIssue[[#This Row],[Pick Line Key (Helper)]],tbl_PickingList[Pick Line Key (Helper)],tbl_PickingList[Request Line])</f>
        <v>10</v>
      </c>
      <c r="H13" s="17" t="str">
        <f>D13&amp;"-"&amp;E13</f>
        <v>PL-2026-0008-10</v>
      </c>
      <c r="I13" s="9" t="str">
        <f>_xlfn.XLOOKUP(tbl_GoodsIssue[[#This Row],[Pick Line Key (Helper)]],tbl_PickingList[Pick Line Key (Helper)],tbl_PickingList[Material Code])</f>
        <v>MAT-00012</v>
      </c>
      <c r="J13" s="9" t="str">
        <f>_xlfn.XLOOKUP(tbl_GoodsIssue[[#This Row],[Material Code]],tbl_MasterMaterial[Material Code],tbl_MasterMaterial[Material Description])</f>
        <v>Bucket Teeth (CAT style)</v>
      </c>
      <c r="K13" s="10" t="str">
        <f>_xlfn.XLOOKUP(tbl_GoodsIssue[[#This Row],[Material Code]],tbl_MasterMaterial[Material Code],tbl_MasterMaterial[Base UoM])</f>
        <v>PCS</v>
      </c>
      <c r="L13" s="88" t="str">
        <f>_xlfn.XLOOKUP(tbl_GoodsIssue[[#This Row],[Pick Line Key (Helper)]],tbl_PickingList[Pick Line Key (Helper)],tbl_PickingList[[Pick Location ]])</f>
        <v>B-02-01-01</v>
      </c>
      <c r="M13" s="9" t="str">
        <f>_xlfn.XLOOKUP(tbl_GoodsIssue[[#This Row],[Pick Line Key (Helper)]],tbl_PickingList[Pick Line Key (Helper)],tbl_PickingList[Requesting Department (Ref)])</f>
        <v>Production</v>
      </c>
      <c r="N13" s="12">
        <f>_xlfn.XLOOKUP(tbl_GoodsIssue[[#This Row],[Pick Line Key (Helper)]],tbl_PickingList[Pick Line Key (Helper)],tbl_PickingList[Quantity Picked])</f>
        <v>22</v>
      </c>
      <c r="O13" s="11">
        <v>22</v>
      </c>
      <c r="P13" s="102">
        <f>tbl_GoodsIssue[[#This Row],[Quantity Issued]]-tbl_GoodsIssue[[#This Row],[Quantity Picked (Ref)]]</f>
        <v>0</v>
      </c>
      <c r="Q13" s="63" t="str">
        <f>IF(tbl_GoodsIssue[[#This Row],[Quantity Issued]]&lt;tbl_GoodsIssue[[#This Row],[Quantity Picked (Ref)]],"Partial","Completed")</f>
        <v>Completed</v>
      </c>
      <c r="R13" s="7" t="s">
        <v>320</v>
      </c>
      <c r="S13" s="7" t="s">
        <v>421</v>
      </c>
      <c r="T13" s="6"/>
      <c r="U13" s="17" t="str">
        <f>tbl_GoodsIssue[[#This Row],[GI Number]]&amp;"-"&amp;tbl_GoodsIssue[[#This Row],[GI Line]]</f>
        <v>GI-2026-0008-10</v>
      </c>
      <c r="V13" s="96" t="str">
        <f>tbl_GoodsIssue[[#This Row],[Request Number]]&amp;"-"&amp;tbl_GoodsIssue[[#This Row],[Request Line]]</f>
        <v>MR-2026-0011-10</v>
      </c>
    </row>
    <row r="14" spans="1:22" x14ac:dyDescent="0.25">
      <c r="A14" s="6" t="s">
        <v>444</v>
      </c>
      <c r="B14" s="7">
        <v>10</v>
      </c>
      <c r="C14" s="8">
        <v>46288</v>
      </c>
      <c r="D14" s="6" t="s">
        <v>433</v>
      </c>
      <c r="E14" s="7">
        <v>10</v>
      </c>
      <c r="F14" s="8" t="str">
        <f>_xlfn.XLOOKUP(tbl_GoodsIssue[[#This Row],[Pick Line Key (Helper)]],tbl_PickingList[Pick Line Key (Helper)],tbl_PickingList[Request Number])</f>
        <v>MR-2026-0012</v>
      </c>
      <c r="G14" s="69">
        <f>_xlfn.XLOOKUP(tbl_GoodsIssue[[#This Row],[Pick Line Key (Helper)]],tbl_PickingList[Pick Line Key (Helper)],tbl_PickingList[Request Line])</f>
        <v>10</v>
      </c>
      <c r="H14" s="17" t="str">
        <f>D14&amp;"-"&amp;E14</f>
        <v>PL-2026-0009-10</v>
      </c>
      <c r="I14" s="9" t="str">
        <f>_xlfn.XLOOKUP(tbl_GoodsIssue[[#This Row],[Pick Line Key (Helper)]],tbl_PickingList[Pick Line Key (Helper)],tbl_PickingList[Material Code])</f>
        <v>MAT-00013</v>
      </c>
      <c r="J14" s="9" t="str">
        <f>_xlfn.XLOOKUP(tbl_GoodsIssue[[#This Row],[Material Code]],tbl_MasterMaterial[Material Code],tbl_MasterMaterial[Material Description])</f>
        <v>Radiator Coolant 20L</v>
      </c>
      <c r="K14" s="10" t="str">
        <f>_xlfn.XLOOKUP(tbl_GoodsIssue[[#This Row],[Material Code]],tbl_MasterMaterial[Material Code],tbl_MasterMaterial[Base UoM])</f>
        <v>LTR</v>
      </c>
      <c r="L14" s="88" t="str">
        <f>_xlfn.XLOOKUP(tbl_GoodsIssue[[#This Row],[Pick Line Key (Helper)]],tbl_PickingList[Pick Line Key (Helper)],tbl_PickingList[[Pick Location ]])</f>
        <v>D-02-01-02</v>
      </c>
      <c r="M14" s="9" t="str">
        <f>_xlfn.XLOOKUP(tbl_GoodsIssue[[#This Row],[Pick Line Key (Helper)]],tbl_PickingList[Pick Line Key (Helper)],tbl_PickingList[Requesting Department (Ref)])</f>
        <v>Maintenance</v>
      </c>
      <c r="N14" s="12">
        <f>_xlfn.XLOOKUP(tbl_GoodsIssue[[#This Row],[Pick Line Key (Helper)]],tbl_PickingList[Pick Line Key (Helper)],tbl_PickingList[Quantity Picked])</f>
        <v>15</v>
      </c>
      <c r="O14" s="11">
        <v>15</v>
      </c>
      <c r="P14" s="102">
        <f>tbl_GoodsIssue[[#This Row],[Quantity Issued]]-tbl_GoodsIssue[[#This Row],[Quantity Picked (Ref)]]</f>
        <v>0</v>
      </c>
      <c r="Q14" s="63" t="str">
        <f>IF(tbl_GoodsIssue[[#This Row],[Quantity Issued]]&lt;tbl_GoodsIssue[[#This Row],[Quantity Picked (Ref)]],"Partial","Completed")</f>
        <v>Completed</v>
      </c>
      <c r="R14" s="7" t="s">
        <v>435</v>
      </c>
      <c r="S14" s="7" t="s">
        <v>422</v>
      </c>
      <c r="T14" s="6" t="s">
        <v>417</v>
      </c>
      <c r="U14" s="17" t="str">
        <f>tbl_GoodsIssue[[#This Row],[GI Number]]&amp;"-"&amp;tbl_GoodsIssue[[#This Row],[GI Line]]</f>
        <v>GI-2026-0009-10</v>
      </c>
      <c r="V14" s="96" t="str">
        <f>tbl_GoodsIssue[[#This Row],[Request Number]]&amp;"-"&amp;tbl_GoodsIssue[[#This Row],[Request Line]]</f>
        <v>MR-2026-0012-10</v>
      </c>
    </row>
    <row r="15" spans="1:22" x14ac:dyDescent="0.25">
      <c r="A15" s="6" t="s">
        <v>445</v>
      </c>
      <c r="B15" s="7">
        <v>10</v>
      </c>
      <c r="C15" s="8">
        <v>46289</v>
      </c>
      <c r="D15" s="6" t="s">
        <v>434</v>
      </c>
      <c r="E15" s="7">
        <v>10</v>
      </c>
      <c r="F15" s="8" t="str">
        <f>_xlfn.XLOOKUP(tbl_GoodsIssue[[#This Row],[Pick Line Key (Helper)]],tbl_PickingList[Pick Line Key (Helper)],tbl_PickingList[Request Number])</f>
        <v>MR-2026-0013</v>
      </c>
      <c r="G15" s="69">
        <f>_xlfn.XLOOKUP(tbl_GoodsIssue[[#This Row],[Pick Line Key (Helper)]],tbl_PickingList[Pick Line Key (Helper)],tbl_PickingList[Request Line])</f>
        <v>10</v>
      </c>
      <c r="H15" s="17" t="str">
        <f>D15&amp;"-"&amp;E15</f>
        <v>PL-2026-0010-10</v>
      </c>
      <c r="I15" s="9" t="str">
        <f>_xlfn.XLOOKUP(tbl_GoodsIssue[[#This Row],[Pick Line Key (Helper)]],tbl_PickingList[Pick Line Key (Helper)],tbl_PickingList[Material Code])</f>
        <v>MAT-00015</v>
      </c>
      <c r="J15" s="9" t="str">
        <f>_xlfn.XLOOKUP(tbl_GoodsIssue[[#This Row],[Material Code]],tbl_MasterMaterial[Material Code],tbl_MasterMaterial[Material Description])</f>
        <v>Turbocharger Assembly (Cat C15)</v>
      </c>
      <c r="K15" s="10" t="str">
        <f>_xlfn.XLOOKUP(tbl_GoodsIssue[[#This Row],[Material Code]],tbl_MasterMaterial[Material Code],tbl_MasterMaterial[Base UoM])</f>
        <v>PCS</v>
      </c>
      <c r="L15" s="88" t="str">
        <f>_xlfn.XLOOKUP(tbl_GoodsIssue[[#This Row],[Pick Line Key (Helper)]],tbl_PickingList[Pick Line Key (Helper)],tbl_PickingList[[Pick Location ]])</f>
        <v>B-01-01-02</v>
      </c>
      <c r="M15" s="9" t="str">
        <f>_xlfn.XLOOKUP(tbl_GoodsIssue[[#This Row],[Pick Line Key (Helper)]],tbl_PickingList[Pick Line Key (Helper)],tbl_PickingList[Requesting Department (Ref)])</f>
        <v>Production</v>
      </c>
      <c r="N15" s="12">
        <f>_xlfn.XLOOKUP(tbl_GoodsIssue[[#This Row],[Pick Line Key (Helper)]],tbl_PickingList[Pick Line Key (Helper)],tbl_PickingList[Quantity Picked])</f>
        <v>3</v>
      </c>
      <c r="O15" s="11">
        <v>3</v>
      </c>
      <c r="P15" s="102">
        <f>tbl_GoodsIssue[[#This Row],[Quantity Issued]]-tbl_GoodsIssue[[#This Row],[Quantity Picked (Ref)]]</f>
        <v>0</v>
      </c>
      <c r="Q15" s="63" t="str">
        <f>IF(tbl_GoodsIssue[[#This Row],[Quantity Issued]]&lt;tbl_GoodsIssue[[#This Row],[Quantity Picked (Ref)]],"Partial","Completed")</f>
        <v>Completed</v>
      </c>
      <c r="R15" s="7" t="s">
        <v>318</v>
      </c>
      <c r="S15" s="7" t="s">
        <v>418</v>
      </c>
      <c r="T15" s="6"/>
      <c r="U15" s="17" t="str">
        <f>tbl_GoodsIssue[[#This Row],[GI Number]]&amp;"-"&amp;tbl_GoodsIssue[[#This Row],[GI Line]]</f>
        <v>GI-2026-0010-10</v>
      </c>
      <c r="V15" s="96" t="str">
        <f>tbl_GoodsIssue[[#This Row],[Request Number]]&amp;"-"&amp;tbl_GoodsIssue[[#This Row],[Request Line]]</f>
        <v>MR-2026-0013-10</v>
      </c>
    </row>
    <row r="18" spans="1:9" x14ac:dyDescent="0.25">
      <c r="A18" s="4" t="s">
        <v>67</v>
      </c>
    </row>
    <row r="19" spans="1:9" x14ac:dyDescent="0.25">
      <c r="A19" s="5"/>
    </row>
    <row r="20" spans="1:9" x14ac:dyDescent="0.25">
      <c r="A20" s="5"/>
    </row>
    <row r="21" spans="1:9" x14ac:dyDescent="0.25">
      <c r="A21" s="5"/>
    </row>
    <row r="22" spans="1:9" x14ac:dyDescent="0.25">
      <c r="A22" s="5"/>
    </row>
    <row r="23" spans="1:9" x14ac:dyDescent="0.25">
      <c r="A23" s="5"/>
    </row>
    <row r="29" spans="1:9" x14ac:dyDescent="0.25">
      <c r="A29" s="21"/>
      <c r="B29" s="23"/>
      <c r="C29" s="21"/>
      <c r="D29" s="21"/>
      <c r="E29" s="23"/>
      <c r="F29" s="23"/>
      <c r="G29" s="21"/>
      <c r="H29" s="21"/>
      <c r="I29" s="21"/>
    </row>
    <row r="30" spans="1:9" x14ac:dyDescent="0.25">
      <c r="A30" s="22"/>
      <c r="B30" s="27"/>
      <c r="C30" s="28"/>
      <c r="D30" s="22"/>
      <c r="E30" s="27"/>
      <c r="F30" s="27"/>
      <c r="G30" s="22"/>
      <c r="H30" s="22"/>
      <c r="I30" s="22"/>
    </row>
    <row r="31" spans="1:9" x14ac:dyDescent="0.25">
      <c r="A31" s="22"/>
      <c r="B31" s="27"/>
      <c r="C31" s="28"/>
      <c r="D31" s="22"/>
      <c r="E31" s="27"/>
      <c r="F31" s="27"/>
      <c r="G31" s="22"/>
      <c r="H31" s="22"/>
      <c r="I31" s="22"/>
    </row>
    <row r="32" spans="1:9" x14ac:dyDescent="0.25">
      <c r="A32" s="22"/>
      <c r="B32" s="27"/>
      <c r="C32" s="28"/>
      <c r="D32" s="22"/>
      <c r="E32" s="27"/>
      <c r="F32" s="27"/>
      <c r="G32" s="22"/>
      <c r="H32" s="22"/>
      <c r="I32" s="22"/>
    </row>
    <row r="33" spans="1:9" x14ac:dyDescent="0.25">
      <c r="A33" s="22"/>
      <c r="B33" s="27"/>
      <c r="C33" s="28"/>
      <c r="D33" s="22"/>
      <c r="E33" s="27"/>
      <c r="F33" s="27"/>
      <c r="G33" s="22"/>
      <c r="H33" s="22"/>
      <c r="I33" s="22"/>
    </row>
    <row r="34" spans="1:9" x14ac:dyDescent="0.25">
      <c r="A34" s="22"/>
      <c r="B34" s="27"/>
      <c r="C34" s="28"/>
      <c r="D34" s="22"/>
      <c r="E34" s="27"/>
      <c r="F34" s="27"/>
      <c r="G34" s="22"/>
      <c r="H34" s="22"/>
      <c r="I34" s="22"/>
    </row>
    <row r="35" spans="1:9" x14ac:dyDescent="0.25">
      <c r="A35" s="22"/>
      <c r="B35" s="27"/>
      <c r="C35" s="28"/>
      <c r="D35" s="22"/>
      <c r="E35" s="27"/>
      <c r="F35" s="23"/>
      <c r="G35" s="22"/>
      <c r="H35" s="22"/>
      <c r="I35" s="25"/>
    </row>
    <row r="36" spans="1:9" x14ac:dyDescent="0.25">
      <c r="A36" s="22"/>
      <c r="B36" s="27"/>
      <c r="C36" s="28"/>
      <c r="D36" s="22"/>
      <c r="E36" s="27"/>
      <c r="F36" s="27"/>
      <c r="G36" s="22"/>
      <c r="H36" s="22"/>
      <c r="I36" s="22"/>
    </row>
    <row r="37" spans="1:9" x14ac:dyDescent="0.25">
      <c r="A37" s="22"/>
      <c r="B37" s="27"/>
      <c r="C37" s="28"/>
      <c r="D37" s="22"/>
      <c r="E37" s="27"/>
      <c r="F37" s="27"/>
      <c r="G37" s="22"/>
      <c r="H37" s="22"/>
      <c r="I37" s="22"/>
    </row>
    <row r="38" spans="1:9" x14ac:dyDescent="0.25">
      <c r="A38" s="22"/>
      <c r="B38" s="27"/>
      <c r="C38" s="28"/>
      <c r="D38" s="22"/>
      <c r="E38" s="27"/>
      <c r="F38" s="27"/>
      <c r="G38" s="22"/>
      <c r="H38" s="22"/>
      <c r="I38" s="22"/>
    </row>
    <row r="39" spans="1:9" x14ac:dyDescent="0.25">
      <c r="A39" s="22"/>
      <c r="B39" s="27"/>
      <c r="C39" s="28"/>
      <c r="D39" s="22"/>
      <c r="E39" s="27"/>
      <c r="F39" s="27"/>
      <c r="G39" s="22"/>
      <c r="H39" s="22"/>
      <c r="I39" s="22"/>
    </row>
    <row r="40" spans="1:9" x14ac:dyDescent="0.25">
      <c r="A40" s="22"/>
      <c r="B40" s="27"/>
      <c r="C40" s="28"/>
      <c r="D40" s="22"/>
      <c r="E40" s="27"/>
      <c r="F40" s="27"/>
      <c r="G40" s="22"/>
      <c r="H40" s="22"/>
      <c r="I40" s="22"/>
    </row>
    <row r="41" spans="1:9" x14ac:dyDescent="0.25">
      <c r="A41" s="22"/>
      <c r="B41" s="27"/>
      <c r="C41" s="28"/>
      <c r="D41" s="22"/>
      <c r="E41" s="27"/>
      <c r="F41" s="27"/>
      <c r="G41" s="22"/>
      <c r="H41" s="22"/>
      <c r="I41" s="22"/>
    </row>
  </sheetData>
  <mergeCells count="1">
    <mergeCell ref="A1:V1"/>
  </mergeCells>
  <phoneticPr fontId="10" type="noConversion"/>
  <conditionalFormatting sqref="P4:Q15">
    <cfRule type="expression" dxfId="24" priority="92">
      <formula>$P4&gt;0</formula>
    </cfRule>
  </conditionalFormatting>
  <conditionalFormatting sqref="Q4:Q15">
    <cfRule type="expression" dxfId="23" priority="1">
      <formula>$Q4="Completed"</formula>
    </cfRule>
  </conditionalFormatting>
  <conditionalFormatting sqref="Q4:S15">
    <cfRule type="expression" dxfId="22" priority="95">
      <formula>#REF!&lt;&gt;"N/A"</formula>
    </cfRule>
  </conditionalFormatting>
  <conditionalFormatting sqref="Q16:S16 O17:Q28 Q29:S507">
    <cfRule type="expression" dxfId="21" priority="96">
      <formula>#REF!&gt;0</formula>
    </cfRule>
  </conditionalFormatting>
  <conditionalFormatting sqref="R17:R28">
    <cfRule type="expression" dxfId="20" priority="100">
      <formula>$R17&lt;&gt;"N/A"</formula>
    </cfRule>
  </conditionalFormatting>
  <conditionalFormatting sqref="T16:U16 T29:U507">
    <cfRule type="expression" dxfId="19" priority="4">
      <formula>$T16&lt;&gt;"N/A"</formula>
    </cfRule>
  </conditionalFormatting>
  <dataValidations count="3">
    <dataValidation type="list" allowBlank="1" showInputMessage="1" showErrorMessage="1" sqref="Q4:Q15" xr:uid="{29EB6F95-2B36-42AE-8681-9129832D77F8}">
      <formula1>"Partial,Completed"</formula1>
    </dataValidation>
    <dataValidation type="list" showInputMessage="1" showErrorMessage="1" sqref="R4:R15" xr:uid="{FDFAD1EF-06A5-461C-9946-8644B8E312D5}">
      <formula1>"Andi,Budi,Rizky,Dimas"</formula1>
    </dataValidation>
    <dataValidation type="list" showInputMessage="1" showErrorMessage="1" errorTitle="Invalid entry" error="Please select a value from the list." promptTitle="Issue Variance Reason" prompt="Reason if Quantity Issued is less than Quantity Picked." sqref="T16:U16 T29:U507 R17:R28" xr:uid="{00000000-0002-0000-0800-000002000000}">
      <formula1>"N/A,Damaged During Staging,Department Cancelled Partial Need,Recount Adjustment"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errorTitle="Invalid entry" error="Please select a value from the list." promptTitle="Pick Number" prompt="Select the Pick Number this issue is against." xr:uid="{00000000-0002-0000-0800-000000000000}">
          <x14:formula1>
            <xm:f>'08_Picking_List'!$A$4:$A$15</xm:f>
          </x14:formula1>
          <x14:formula2>
            <xm:f>0</xm:f>
          </x14:formula2>
          <xm:sqref>D4:D15 F42:F507 F16</xm:sqref>
        </x14:dataValidation>
        <x14:dataValidation type="list" showInputMessage="1" showErrorMessage="1" errorTitle="Invalid entry" error="Please select a value from the list." promptTitle="Pick Line" prompt="Select the Pick Line this issue is against." xr:uid="{00000000-0002-0000-0800-000001000000}">
          <x14:formula1>
            <xm:f>'08_Picking_List'!$B$4:$B$15</xm:f>
          </x14:formula1>
          <x14:formula2>
            <xm:f>0</xm:f>
          </x14:formula2>
          <xm:sqref>E4:E15 G42:G507 G16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D6AEC-EF60-46B0-AD92-7B65B28079F3}">
  <dimension ref="A1:N73"/>
  <sheetViews>
    <sheetView showGridLines="0" zoomScaleNormal="100" workbookViewId="0">
      <pane ySplit="3" topLeftCell="A4" activePane="bottomLeft" state="frozen"/>
      <selection pane="bottomLeft" activeCell="A2" sqref="A2"/>
    </sheetView>
  </sheetViews>
  <sheetFormatPr defaultColWidth="8.7109375" defaultRowHeight="14.25" x14ac:dyDescent="0.2"/>
  <cols>
    <col min="1" max="1" width="13" style="89" customWidth="1"/>
    <col min="2" max="2" width="16" style="89" customWidth="1"/>
    <col min="3" max="3" width="14.85546875" style="89" bestFit="1" customWidth="1"/>
    <col min="4" max="4" width="11.7109375" style="89" customWidth="1"/>
    <col min="5" max="5" width="19.42578125" style="89" hidden="1" customWidth="1"/>
    <col min="6" max="6" width="13.85546875" style="89" customWidth="1"/>
    <col min="7" max="7" width="31.42578125" style="89" bestFit="1" customWidth="1"/>
    <col min="8" max="8" width="11.85546875" style="89" customWidth="1"/>
    <col min="9" max="9" width="17.42578125" style="89" bestFit="1" customWidth="1"/>
    <col min="10" max="10" width="9.5703125" style="89" customWidth="1"/>
    <col min="11" max="11" width="9.28515625" style="89" customWidth="1"/>
    <col min="12" max="12" width="13.28515625" style="89" customWidth="1"/>
    <col min="13" max="13" width="14.5703125" style="89" customWidth="1"/>
    <col min="14" max="14" width="70.5703125" style="89" bestFit="1" customWidth="1"/>
    <col min="15" max="16384" width="8.7109375" style="89"/>
  </cols>
  <sheetData>
    <row r="1" spans="1:14" ht="24" customHeight="1" x14ac:dyDescent="0.2">
      <c r="A1" s="109" t="s">
        <v>468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</row>
    <row r="3" spans="1:14" ht="31.5" customHeight="1" x14ac:dyDescent="0.2">
      <c r="A3" s="1" t="s">
        <v>200</v>
      </c>
      <c r="B3" s="1" t="s">
        <v>201</v>
      </c>
      <c r="C3" s="1" t="s">
        <v>202</v>
      </c>
      <c r="D3" s="1" t="s">
        <v>203</v>
      </c>
      <c r="E3" s="1" t="s">
        <v>204</v>
      </c>
      <c r="F3" s="1" t="s">
        <v>1</v>
      </c>
      <c r="G3" s="1" t="s">
        <v>2</v>
      </c>
      <c r="H3" s="1" t="s">
        <v>147</v>
      </c>
      <c r="I3" s="1" t="s">
        <v>205</v>
      </c>
      <c r="J3" s="1" t="s">
        <v>206</v>
      </c>
      <c r="K3" s="1" t="s">
        <v>207</v>
      </c>
      <c r="L3" s="1" t="s">
        <v>208</v>
      </c>
      <c r="M3" s="1" t="s">
        <v>209</v>
      </c>
      <c r="N3" s="1" t="s">
        <v>124</v>
      </c>
    </row>
    <row r="4" spans="1:14" x14ac:dyDescent="0.2">
      <c r="A4" s="71" cm="1">
        <f t="array" ref="A4:D32">_xlfn.LET(
    _xlpm.data,
    _xlfn.VSTACK(
        _xlfn.HSTACK(
            tbl_GoodsReceipt[GR Date],
            IF(tbl_GoodsReceipt[GR Number]&lt;&gt;0,"Goods Receipt",""),
            tbl_GoodsReceipt[GR Number],
            tbl_GoodsReceipt[GR Line]
        ),
        _xlfn.HSTACK(
            tbl_GoodsIssue[GI Date],
            IF(tbl_GoodsIssue[GI Number]&lt;&gt;0,"Goods Issue",""),
            tbl_GoodsIssue[GI Number],
            tbl_GoodsIssue[GI Line]
        )
    ),
    _xlfn.SORTBY(_xlpm.data,_xlfn.CHOOSECOLS(_xlpm.data,1),1)
)</f>
        <v>46244</v>
      </c>
      <c r="B4" s="63" t="str">
        <v>Goods Receipt</v>
      </c>
      <c r="C4" s="2" t="str">
        <v>GR-2026-0001</v>
      </c>
      <c r="D4" s="72">
        <v>10</v>
      </c>
      <c r="E4" s="17" t="str">
        <f>C4&amp;"-"&amp;D4</f>
        <v>GR-2026-0001-10</v>
      </c>
      <c r="F4" s="9" t="str">
        <f>IF(B4="Goods Receipt",_xlfn.XLOOKUP('10_Stock_Card'!E4,tbl_GoodsReceipt[GR Line Key (Helper)],tbl_GoodsReceipt[Material Code]),_xlfn.XLOOKUP('10_Stock_Card'!E4,tbl_GoodsIssue[GI Line Key (Helper)],tbl_GoodsIssue[Material Code]))</f>
        <v>MAT-00003</v>
      </c>
      <c r="G4" s="9" t="str">
        <f>VLOOKUP(F4,tbl_MasterMaterial[],2,FALSE)</f>
        <v>Engine Oil Filter (Cat 320D)</v>
      </c>
      <c r="H4" s="10" t="str">
        <f>VLOOKUP(F4,tbl_MasterMaterial[],4,FALSE)</f>
        <v>PCS</v>
      </c>
      <c r="I4" s="9" t="str">
        <f>IF(B4="Goods Receipt",_xlfn.XLOOKUP('10_Stock_Card'!E4,tbl_PutAway[GR Line Key (Helper)],tbl_PutAway[To Location]),_xlfn.XLOOKUP('10_Stock_Card'!E4,tbl_GoodsIssue[GI Line Key (Helper)],tbl_GoodsIssue[Issuing Location (Ref)]))</f>
        <v>A-02-01-01</v>
      </c>
      <c r="J4" s="12">
        <f>IF(B4="Goods Receipt",_xlfn.XLOOKUP('10_Stock_Card'!E4,tbl_GoodsReceipt[GR Line Key (Helper)],tbl_GoodsReceipt[Accepted Qty]),0)</f>
        <v>80</v>
      </c>
      <c r="K4" s="12">
        <f>IF(B4="Goods Issue",_xlfn.XLOOKUP(E4,tbl_GoodsIssue[GI Line Key (Helper)],tbl_GoodsIssue[Quantity Issued]),0)</f>
        <v>0</v>
      </c>
      <c r="L4" s="93">
        <f t="shared" ref="L4:L32" si="0">J4-K4</f>
        <v>80</v>
      </c>
      <c r="M4" s="19">
        <f>SUMIFS($L$4:L4,$F$4:F4,F4)</f>
        <v>80</v>
      </c>
      <c r="N4" s="6"/>
    </row>
    <row r="5" spans="1:14" x14ac:dyDescent="0.2">
      <c r="A5" s="71">
        <v>46244</v>
      </c>
      <c r="B5" s="63" t="str">
        <v>Goods Receipt</v>
      </c>
      <c r="C5" s="2" t="str">
        <v>GR-2026-0001</v>
      </c>
      <c r="D5" s="72">
        <v>20</v>
      </c>
      <c r="E5" s="17" t="str">
        <f t="shared" ref="E5:E32" si="1">C5&amp;"-"&amp;D5</f>
        <v>GR-2026-0001-20</v>
      </c>
      <c r="F5" s="9" t="str">
        <f>IF(B5="Goods Receipt",_xlfn.XLOOKUP('10_Stock_Card'!E5,tbl_GoodsReceipt[GR Line Key (Helper)],tbl_GoodsReceipt[Material Code]),_xlfn.XLOOKUP('10_Stock_Card'!E5,tbl_GoodsIssue[GI Line Key (Helper)],tbl_GoodsIssue[Material Code]))</f>
        <v>MAT-00007</v>
      </c>
      <c r="G5" s="9" t="str">
        <f>VLOOKUP(F5,tbl_MasterMaterial[],2,FALSE)</f>
        <v>Air Filter Element - Primary</v>
      </c>
      <c r="H5" s="10" t="str">
        <f>VLOOKUP(F5,tbl_MasterMaterial[],4,FALSE)</f>
        <v>PCS</v>
      </c>
      <c r="I5" s="9" t="str">
        <f>IF(B5="Goods Receipt",_xlfn.XLOOKUP('10_Stock_Card'!E5,tbl_PutAway[GR Line Key (Helper)],tbl_PutAway[To Location]),_xlfn.XLOOKUP('10_Stock_Card'!E5,tbl_GoodsIssue[GI Line Key (Helper)],tbl_GoodsIssue[Issuing Location (Ref)]))</f>
        <v>A-02-01-02</v>
      </c>
      <c r="J5" s="12">
        <f>IF(B5="Goods Receipt",_xlfn.XLOOKUP('10_Stock_Card'!E5,tbl_GoodsReceipt[GR Line Key (Helper)],tbl_GoodsReceipt[Accepted Qty]),0)</f>
        <v>60</v>
      </c>
      <c r="K5" s="12">
        <f>IF(B5="Goods Issue",_xlfn.XLOOKUP(E5,tbl_GoodsIssue[GI Line Key (Helper)],tbl_GoodsIssue[Quantity Issued]),0)</f>
        <v>0</v>
      </c>
      <c r="L5" s="93">
        <f t="shared" si="0"/>
        <v>60</v>
      </c>
      <c r="M5" s="19">
        <f>SUMIFS($L$4:L5,$F$4:F5,F5)</f>
        <v>60</v>
      </c>
      <c r="N5" s="6"/>
    </row>
    <row r="6" spans="1:14" x14ac:dyDescent="0.2">
      <c r="A6" s="71">
        <v>46249</v>
      </c>
      <c r="B6" s="63" t="str">
        <v>Goods Receipt</v>
      </c>
      <c r="C6" s="2" t="str">
        <v>GR-2026-0002</v>
      </c>
      <c r="D6" s="72">
        <v>10</v>
      </c>
      <c r="E6" s="17" t="str">
        <f t="shared" si="1"/>
        <v>GR-2026-0002-10</v>
      </c>
      <c r="F6" s="9" t="str">
        <f>IF(B6="Goods Receipt",_xlfn.XLOOKUP('10_Stock_Card'!E6,tbl_GoodsReceipt[GR Line Key (Helper)],tbl_GoodsReceipt[Material Code]),_xlfn.XLOOKUP('10_Stock_Card'!E6,tbl_GoodsIssue[GI Line Key (Helper)],tbl_GoodsIssue[Material Code]))</f>
        <v>MAT-00001</v>
      </c>
      <c r="G6" s="9" t="str">
        <f>VLOOKUP(F6,tbl_MasterMaterial[],2,FALSE)</f>
        <v>Hydraulic Cylinder Seal Kit 80mm</v>
      </c>
      <c r="H6" s="10" t="str">
        <f>VLOOKUP(F6,tbl_MasterMaterial[],4,FALSE)</f>
        <v>PCS</v>
      </c>
      <c r="I6" s="9" t="str">
        <f>IF(B6="Goods Receipt",_xlfn.XLOOKUP('10_Stock_Card'!E6,tbl_PutAway[GR Line Key (Helper)],tbl_PutAway[To Location]),_xlfn.XLOOKUP('10_Stock_Card'!E6,tbl_GoodsIssue[GI Line Key (Helper)],tbl_GoodsIssue[Issuing Location (Ref)]))</f>
        <v>A-01-01-01</v>
      </c>
      <c r="J6" s="12">
        <f>IF(B6="Goods Receipt",_xlfn.XLOOKUP('10_Stock_Card'!E6,tbl_GoodsReceipt[GR Line Key (Helper)],tbl_GoodsReceipt[Accepted Qty]),0)</f>
        <v>80</v>
      </c>
      <c r="K6" s="12">
        <f>IF(B6="Goods Issue",_xlfn.XLOOKUP(E6,tbl_GoodsIssue[GI Line Key (Helper)],tbl_GoodsIssue[Quantity Issued]),0)</f>
        <v>0</v>
      </c>
      <c r="L6" s="93">
        <f t="shared" si="0"/>
        <v>80</v>
      </c>
      <c r="M6" s="19">
        <f>SUMIFS($L$4:L6,$F$4:F6,F6)</f>
        <v>80</v>
      </c>
      <c r="N6" s="6"/>
    </row>
    <row r="7" spans="1:14" x14ac:dyDescent="0.2">
      <c r="A7" s="71">
        <v>46249</v>
      </c>
      <c r="B7" s="63" t="str">
        <v>Goods Receipt</v>
      </c>
      <c r="C7" s="2" t="str">
        <v>GR-2026-0002</v>
      </c>
      <c r="D7" s="72">
        <v>20</v>
      </c>
      <c r="E7" s="17" t="str">
        <f t="shared" si="1"/>
        <v>GR-2026-0002-20</v>
      </c>
      <c r="F7" s="9" t="str">
        <f>IF(B7="Goods Receipt",_xlfn.XLOOKUP('10_Stock_Card'!E7,tbl_GoodsReceipt[GR Line Key (Helper)],tbl_GoodsReceipt[Material Code]),_xlfn.XLOOKUP('10_Stock_Card'!E7,tbl_GoodsIssue[GI Line Key (Helper)],tbl_GoodsIssue[Material Code]))</f>
        <v>MAT-00008</v>
      </c>
      <c r="G7" s="9" t="str">
        <f>VLOOKUP(F7,tbl_MasterMaterial[],2,FALSE)</f>
        <v>Hydraulic Hose 1/2in x 3m</v>
      </c>
      <c r="H7" s="10" t="str">
        <f>VLOOKUP(F7,tbl_MasterMaterial[],4,FALSE)</f>
        <v>PCS</v>
      </c>
      <c r="I7" s="9" t="str">
        <f>IF(B7="Goods Receipt",_xlfn.XLOOKUP('10_Stock_Card'!E7,tbl_PutAway[GR Line Key (Helper)],tbl_PutAway[To Location]),_xlfn.XLOOKUP('10_Stock_Card'!E7,tbl_GoodsIssue[GI Line Key (Helper)],tbl_GoodsIssue[Issuing Location (Ref)]))</f>
        <v>A-01-02-01</v>
      </c>
      <c r="J7" s="12">
        <f>IF(B7="Goods Receipt",_xlfn.XLOOKUP('10_Stock_Card'!E7,tbl_GoodsReceipt[GR Line Key (Helper)],tbl_GoodsReceipt[Accepted Qty]),0)</f>
        <v>60</v>
      </c>
      <c r="K7" s="12">
        <f>IF(B7="Goods Issue",_xlfn.XLOOKUP(E7,tbl_GoodsIssue[GI Line Key (Helper)],tbl_GoodsIssue[Quantity Issued]),0)</f>
        <v>0</v>
      </c>
      <c r="L7" s="93">
        <f t="shared" si="0"/>
        <v>60</v>
      </c>
      <c r="M7" s="19">
        <f>SUMIFS($L$4:L7,$F$4:F7,F7)</f>
        <v>60</v>
      </c>
      <c r="N7" s="6"/>
    </row>
    <row r="8" spans="1:14" x14ac:dyDescent="0.2">
      <c r="A8" s="71">
        <v>46249</v>
      </c>
      <c r="B8" s="63" t="str">
        <v>Goods Receipt</v>
      </c>
      <c r="C8" s="2" t="str">
        <v>GR-2026-0002</v>
      </c>
      <c r="D8" s="72">
        <v>30</v>
      </c>
      <c r="E8" s="17" t="str">
        <f t="shared" si="1"/>
        <v>GR-2026-0002-30</v>
      </c>
      <c r="F8" s="9" t="str">
        <f>IF(B8="Goods Receipt",_xlfn.XLOOKUP('10_Stock_Card'!E8,tbl_GoodsReceipt[GR Line Key (Helper)],tbl_GoodsReceipt[Material Code]),_xlfn.XLOOKUP('10_Stock_Card'!E8,tbl_GoodsIssue[GI Line Key (Helper)],tbl_GoodsIssue[Material Code]))</f>
        <v>MAT-00019</v>
      </c>
      <c r="G8" s="9" t="str">
        <f>VLOOKUP(F8,tbl_MasterMaterial[],2,FALSE)</f>
        <v>Bearing 6205-2RS</v>
      </c>
      <c r="H8" s="10" t="str">
        <f>VLOOKUP(F8,tbl_MasterMaterial[],4,FALSE)</f>
        <v>PCS</v>
      </c>
      <c r="I8" s="9" t="str">
        <f>IF(B8="Goods Receipt",_xlfn.XLOOKUP('10_Stock_Card'!E8,tbl_PutAway[GR Line Key (Helper)],tbl_PutAway[To Location]),_xlfn.XLOOKUP('10_Stock_Card'!E8,tbl_GoodsIssue[GI Line Key (Helper)],tbl_GoodsIssue[Issuing Location (Ref)]))</f>
        <v>A-01-02-02</v>
      </c>
      <c r="J8" s="12">
        <f>IF(B8="Goods Receipt",_xlfn.XLOOKUP('10_Stock_Card'!E8,tbl_GoodsReceipt[GR Line Key (Helper)],tbl_GoodsReceipt[Accepted Qty]),0)</f>
        <v>140</v>
      </c>
      <c r="K8" s="12">
        <f>IF(B8="Goods Issue",_xlfn.XLOOKUP(E8,tbl_GoodsIssue[GI Line Key (Helper)],tbl_GoodsIssue[Quantity Issued]),0)</f>
        <v>0</v>
      </c>
      <c r="L8" s="93">
        <f t="shared" si="0"/>
        <v>140</v>
      </c>
      <c r="M8" s="19">
        <f>SUMIFS($L$4:L8,$F$4:F8,F8)</f>
        <v>140</v>
      </c>
      <c r="N8" s="6"/>
    </row>
    <row r="9" spans="1:14" x14ac:dyDescent="0.2">
      <c r="A9" s="71">
        <v>46249</v>
      </c>
      <c r="B9" s="63" t="str">
        <v>Goods Receipt</v>
      </c>
      <c r="C9" s="2" t="str">
        <v>GR-2026-0003</v>
      </c>
      <c r="D9" s="72">
        <v>10</v>
      </c>
      <c r="E9" s="17" t="str">
        <f t="shared" si="1"/>
        <v>GR-2026-0003-10</v>
      </c>
      <c r="F9" s="9" t="str">
        <f>IF(B9="Goods Receipt",_xlfn.XLOOKUP('10_Stock_Card'!E9,tbl_GoodsReceipt[GR Line Key (Helper)],tbl_GoodsReceipt[Material Code]),_xlfn.XLOOKUP('10_Stock_Card'!E9,tbl_GoodsIssue[GI Line Key (Helper)],tbl_GoodsIssue[Material Code]))</f>
        <v>MAT-00009</v>
      </c>
      <c r="G9" s="9" t="str">
        <f>VLOOKUP(F9,tbl_MasterMaterial[],2,FALSE)</f>
        <v>Grease Cartridge NLGI2 400g</v>
      </c>
      <c r="H9" s="10" t="str">
        <f>VLOOKUP(F9,tbl_MasterMaterial[],4,FALSE)</f>
        <v>PCS</v>
      </c>
      <c r="I9" s="9" t="str">
        <f>IF(B9="Goods Receipt",_xlfn.XLOOKUP('10_Stock_Card'!E9,tbl_PutAway[GR Line Key (Helper)],tbl_PutAway[To Location]),_xlfn.XLOOKUP('10_Stock_Card'!E9,tbl_GoodsIssue[GI Line Key (Helper)],tbl_GoodsIssue[Issuing Location (Ref)]))</f>
        <v>D-02-01-03</v>
      </c>
      <c r="J9" s="12">
        <f>IF(B9="Goods Receipt",_xlfn.XLOOKUP('10_Stock_Card'!E9,tbl_GoodsReceipt[GR Line Key (Helper)],tbl_GoodsReceipt[Accepted Qty]),0)</f>
        <v>190</v>
      </c>
      <c r="K9" s="12">
        <f>IF(B9="Goods Issue",_xlfn.XLOOKUP(E9,tbl_GoodsIssue[GI Line Key (Helper)],tbl_GoodsIssue[Quantity Issued]),0)</f>
        <v>0</v>
      </c>
      <c r="L9" s="93">
        <f t="shared" si="0"/>
        <v>190</v>
      </c>
      <c r="M9" s="19">
        <f>SUMIFS($L$4:L9,$F$4:F9,F9)</f>
        <v>190</v>
      </c>
      <c r="N9" s="6"/>
    </row>
    <row r="10" spans="1:14" x14ac:dyDescent="0.2">
      <c r="A10" s="71">
        <v>46249</v>
      </c>
      <c r="B10" s="63" t="str">
        <v>Goods Receipt</v>
      </c>
      <c r="C10" s="2" t="str">
        <v>GR-2026-0003</v>
      </c>
      <c r="D10" s="72">
        <v>20</v>
      </c>
      <c r="E10" s="17" t="str">
        <f t="shared" si="1"/>
        <v>GR-2026-0003-20</v>
      </c>
      <c r="F10" s="9" t="str">
        <f>IF(B10="Goods Receipt",_xlfn.XLOOKUP('10_Stock_Card'!E10,tbl_GoodsReceipt[GR Line Key (Helper)],tbl_GoodsReceipt[Material Code]),_xlfn.XLOOKUP('10_Stock_Card'!E10,tbl_GoodsIssue[GI Line Key (Helper)],tbl_GoodsIssue[Material Code]))</f>
        <v>MAT-00013</v>
      </c>
      <c r="G10" s="9" t="str">
        <f>VLOOKUP(F10,tbl_MasterMaterial[],2,FALSE)</f>
        <v>Radiator Coolant 20L</v>
      </c>
      <c r="H10" s="10" t="str">
        <f>VLOOKUP(F10,tbl_MasterMaterial[],4,FALSE)</f>
        <v>LTR</v>
      </c>
      <c r="I10" s="9" t="str">
        <f>IF(B10="Goods Receipt",_xlfn.XLOOKUP('10_Stock_Card'!E10,tbl_PutAway[GR Line Key (Helper)],tbl_PutAway[To Location]),_xlfn.XLOOKUP('10_Stock_Card'!E10,tbl_GoodsIssue[GI Line Key (Helper)],tbl_GoodsIssue[Issuing Location (Ref)]))</f>
        <v>D-02-01-02</v>
      </c>
      <c r="J10" s="12">
        <f>IF(B10="Goods Receipt",_xlfn.XLOOKUP('10_Stock_Card'!E10,tbl_GoodsReceipt[GR Line Key (Helper)],tbl_GoodsReceipt[Accepted Qty]),0)</f>
        <v>120</v>
      </c>
      <c r="K10" s="12">
        <f>IF(B10="Goods Issue",_xlfn.XLOOKUP(E10,tbl_GoodsIssue[GI Line Key (Helper)],tbl_GoodsIssue[Quantity Issued]),0)</f>
        <v>0</v>
      </c>
      <c r="L10" s="93">
        <f t="shared" si="0"/>
        <v>120</v>
      </c>
      <c r="M10" s="19">
        <f>SUMIFS($L$4:L10,$F$4:F10,F10)</f>
        <v>120</v>
      </c>
      <c r="N10" s="6"/>
    </row>
    <row r="11" spans="1:14" x14ac:dyDescent="0.2">
      <c r="A11" s="71">
        <v>46251</v>
      </c>
      <c r="B11" s="63" t="str">
        <v>Goods Receipt</v>
      </c>
      <c r="C11" s="2" t="str">
        <v>GR-2026-0004</v>
      </c>
      <c r="D11" s="72">
        <v>10</v>
      </c>
      <c r="E11" s="17" t="str">
        <f t="shared" si="1"/>
        <v>GR-2026-0004-10</v>
      </c>
      <c r="F11" s="9" t="str">
        <f>IF(B11="Goods Receipt",_xlfn.XLOOKUP('10_Stock_Card'!E11,tbl_GoodsReceipt[GR Line Key (Helper)],tbl_GoodsReceipt[Material Code]),_xlfn.XLOOKUP('10_Stock_Card'!E11,tbl_GoodsIssue[GI Line Key (Helper)],tbl_GoodsIssue[Material Code]))</f>
        <v>MAT-00014</v>
      </c>
      <c r="G11" s="9" t="str">
        <f>VLOOKUP(F11,tbl_MasterMaterial[],2,FALSE)</f>
        <v>Flat Washer M12 Zinc Plated</v>
      </c>
      <c r="H11" s="10" t="str">
        <f>VLOOKUP(F11,tbl_MasterMaterial[],4,FALSE)</f>
        <v>PCS</v>
      </c>
      <c r="I11" s="9" t="str">
        <f>IF(B11="Goods Receipt",_xlfn.XLOOKUP('10_Stock_Card'!E11,tbl_PutAway[GR Line Key (Helper)],tbl_PutAway[To Location]),_xlfn.XLOOKUP('10_Stock_Card'!E11,tbl_GoodsIssue[GI Line Key (Helper)],tbl_GoodsIssue[Issuing Location (Ref)]))</f>
        <v>D-01-01-02</v>
      </c>
      <c r="J11" s="12">
        <f>IF(B11="Goods Receipt",_xlfn.XLOOKUP('10_Stock_Card'!E11,tbl_GoodsReceipt[GR Line Key (Helper)],tbl_GoodsReceipt[Accepted Qty]),0)</f>
        <v>5000</v>
      </c>
      <c r="K11" s="12">
        <f>IF(B11="Goods Issue",_xlfn.XLOOKUP(E11,tbl_GoodsIssue[GI Line Key (Helper)],tbl_GoodsIssue[Quantity Issued]),0)</f>
        <v>0</v>
      </c>
      <c r="L11" s="93">
        <f t="shared" si="0"/>
        <v>5000</v>
      </c>
      <c r="M11" s="19">
        <f>SUMIFS($L$4:L11,$F$4:F11,F11)</f>
        <v>5000</v>
      </c>
      <c r="N11" s="6"/>
    </row>
    <row r="12" spans="1:14" x14ac:dyDescent="0.2">
      <c r="A12" s="71">
        <v>46251</v>
      </c>
      <c r="B12" s="63" t="str">
        <v>Goods Receipt</v>
      </c>
      <c r="C12" s="2" t="str">
        <v>GR-2026-0005</v>
      </c>
      <c r="D12" s="72">
        <v>10</v>
      </c>
      <c r="E12" s="17" t="str">
        <f t="shared" si="1"/>
        <v>GR-2026-0005-10</v>
      </c>
      <c r="F12" s="9" t="str">
        <f>IF(B12="Goods Receipt",_xlfn.XLOOKUP('10_Stock_Card'!E12,tbl_GoodsReceipt[GR Line Key (Helper)],tbl_GoodsReceipt[Material Code]),_xlfn.XLOOKUP('10_Stock_Card'!E12,tbl_GoodsIssue[GI Line Key (Helper)],tbl_GoodsIssue[Material Code]))</f>
        <v>MAT-00005</v>
      </c>
      <c r="G12" s="9" t="str">
        <f>VLOOKUP(F12,tbl_MasterMaterial[],2,FALSE)</f>
        <v>Industrial Degreaser 20L</v>
      </c>
      <c r="H12" s="10" t="str">
        <f>VLOOKUP(F12,tbl_MasterMaterial[],4,FALSE)</f>
        <v>LTR</v>
      </c>
      <c r="I12" s="9" t="str">
        <f>IF(B12="Goods Receipt",_xlfn.XLOOKUP('10_Stock_Card'!E12,tbl_PutAway[GR Line Key (Helper)],tbl_PutAway[To Location]),_xlfn.XLOOKUP('10_Stock_Card'!E12,tbl_GoodsIssue[GI Line Key (Helper)],tbl_GoodsIssue[Issuing Location (Ref)]))</f>
        <v>D-02-01-01</v>
      </c>
      <c r="J12" s="12">
        <f>IF(B12="Goods Receipt",_xlfn.XLOOKUP('10_Stock_Card'!E12,tbl_GoodsReceipt[GR Line Key (Helper)],tbl_GoodsReceipt[Accepted Qty]),0)</f>
        <v>68</v>
      </c>
      <c r="K12" s="12">
        <f>IF(B12="Goods Issue",_xlfn.XLOOKUP(E12,tbl_GoodsIssue[GI Line Key (Helper)],tbl_GoodsIssue[Quantity Issued]),0)</f>
        <v>0</v>
      </c>
      <c r="L12" s="93">
        <f t="shared" si="0"/>
        <v>68</v>
      </c>
      <c r="M12" s="19">
        <f>SUMIFS($L$4:L12,$F$4:F12,F12)</f>
        <v>68</v>
      </c>
      <c r="N12" s="6"/>
    </row>
    <row r="13" spans="1:14" x14ac:dyDescent="0.2">
      <c r="A13" s="71">
        <v>46253</v>
      </c>
      <c r="B13" s="63" t="str">
        <v>Goods Receipt</v>
      </c>
      <c r="C13" s="2" t="str">
        <v>GR-2026-0006</v>
      </c>
      <c r="D13" s="72">
        <v>20</v>
      </c>
      <c r="E13" s="17" t="str">
        <f t="shared" si="1"/>
        <v>GR-2026-0006-20</v>
      </c>
      <c r="F13" s="9" t="str">
        <f>IF(B13="Goods Receipt",_xlfn.XLOOKUP('10_Stock_Card'!E13,tbl_GoodsReceipt[GR Line Key (Helper)],tbl_GoodsReceipt[Material Code]),_xlfn.XLOOKUP('10_Stock_Card'!E13,tbl_GoodsIssue[GI Line Key (Helper)],tbl_GoodsIssue[Material Code]))</f>
        <v>MAT-00018</v>
      </c>
      <c r="G13" s="9" t="str">
        <f>VLOOKUP(F13,tbl_MasterMaterial[],2,FALSE)</f>
        <v>Cabin Air Filter</v>
      </c>
      <c r="H13" s="10" t="str">
        <f>VLOOKUP(F13,tbl_MasterMaterial[],4,FALSE)</f>
        <v>PCS</v>
      </c>
      <c r="I13" s="9" t="str">
        <f>IF(B13="Goods Receipt",_xlfn.XLOOKUP('10_Stock_Card'!E13,tbl_PutAway[GR Line Key (Helper)],tbl_PutAway[To Location]),_xlfn.XLOOKUP('10_Stock_Card'!E13,tbl_GoodsIssue[GI Line Key (Helper)],tbl_GoodsIssue[Issuing Location (Ref)]))</f>
        <v>A-02-01-03</v>
      </c>
      <c r="J13" s="12">
        <f>IF(B13="Goods Receipt",_xlfn.XLOOKUP('10_Stock_Card'!E13,tbl_GoodsReceipt[GR Line Key (Helper)],tbl_GoodsReceipt[Accepted Qty]),0)</f>
        <v>90</v>
      </c>
      <c r="K13" s="12">
        <f>IF(B13="Goods Issue",_xlfn.XLOOKUP(E13,tbl_GoodsIssue[GI Line Key (Helper)],tbl_GoodsIssue[Quantity Issued]),0)</f>
        <v>0</v>
      </c>
      <c r="L13" s="93">
        <f t="shared" si="0"/>
        <v>90</v>
      </c>
      <c r="M13" s="19">
        <f>SUMIFS($L$4:L13,$F$4:F13,F13)</f>
        <v>90</v>
      </c>
      <c r="N13" s="6"/>
    </row>
    <row r="14" spans="1:14" x14ac:dyDescent="0.2">
      <c r="A14" s="71">
        <v>46255</v>
      </c>
      <c r="B14" s="63" t="str">
        <v>Goods Issue</v>
      </c>
      <c r="C14" s="2" t="str">
        <v>GI-2026-0001</v>
      </c>
      <c r="D14" s="72">
        <v>10</v>
      </c>
      <c r="E14" s="17" t="str">
        <f t="shared" si="1"/>
        <v>GI-2026-0001-10</v>
      </c>
      <c r="F14" s="9" t="str">
        <f>IF(B14="Goods Receipt",_xlfn.XLOOKUP('10_Stock_Card'!E14,tbl_GoodsReceipt[GR Line Key (Helper)],tbl_GoodsReceipt[Material Code]),_xlfn.XLOOKUP('10_Stock_Card'!E14,tbl_GoodsIssue[GI Line Key (Helper)],tbl_GoodsIssue[Material Code]))</f>
        <v>MAT-00001</v>
      </c>
      <c r="G14" s="9" t="str">
        <f>VLOOKUP(F14,tbl_MasterMaterial[],2,FALSE)</f>
        <v>Hydraulic Cylinder Seal Kit 80mm</v>
      </c>
      <c r="H14" s="10" t="str">
        <f>VLOOKUP(F14,tbl_MasterMaterial[],4,FALSE)</f>
        <v>PCS</v>
      </c>
      <c r="I14" s="9" t="str">
        <f>IF(B14="Goods Receipt",_xlfn.XLOOKUP('10_Stock_Card'!E14,tbl_PutAway[GR Line Key (Helper)],tbl_PutAway[To Location]),_xlfn.XLOOKUP('10_Stock_Card'!E14,tbl_GoodsIssue[GI Line Key (Helper)],tbl_GoodsIssue[Issuing Location (Ref)]))</f>
        <v>A-01-01-01</v>
      </c>
      <c r="J14" s="12">
        <f>IF(B14="Goods Receipt",_xlfn.XLOOKUP('10_Stock_Card'!E14,tbl_GoodsReceipt[GR Line Key (Helper)],tbl_GoodsReceipt[Accepted Qty]),0)</f>
        <v>0</v>
      </c>
      <c r="K14" s="12">
        <f>IF(B14="Goods Issue",_xlfn.XLOOKUP(E14,tbl_GoodsIssue[GI Line Key (Helper)],tbl_GoodsIssue[Quantity Issued]),0)</f>
        <v>4</v>
      </c>
      <c r="L14" s="93">
        <f t="shared" si="0"/>
        <v>-4</v>
      </c>
      <c r="M14" s="19">
        <f>SUMIFS($L$4:L14,$F$4:F14,F14)</f>
        <v>76</v>
      </c>
      <c r="N14" s="6"/>
    </row>
    <row r="15" spans="1:14" x14ac:dyDescent="0.2">
      <c r="A15" s="71">
        <v>46255</v>
      </c>
      <c r="B15" s="63" t="str">
        <v>Goods Issue</v>
      </c>
      <c r="C15" s="2" t="str">
        <v>GI-2026-0001</v>
      </c>
      <c r="D15" s="72">
        <v>20</v>
      </c>
      <c r="E15" s="17" t="str">
        <f t="shared" si="1"/>
        <v>GI-2026-0001-20</v>
      </c>
      <c r="F15" s="9" t="str">
        <f>IF(B15="Goods Receipt",_xlfn.XLOOKUP('10_Stock_Card'!E15,tbl_GoodsReceipt[GR Line Key (Helper)],tbl_GoodsReceipt[Material Code]),_xlfn.XLOOKUP('10_Stock_Card'!E15,tbl_GoodsIssue[GI Line Key (Helper)],tbl_GoodsIssue[Material Code]))</f>
        <v>MAT-00008</v>
      </c>
      <c r="G15" s="9" t="str">
        <f>VLOOKUP(F15,tbl_MasterMaterial[],2,FALSE)</f>
        <v>Hydraulic Hose 1/2in x 3m</v>
      </c>
      <c r="H15" s="10" t="str">
        <f>VLOOKUP(F15,tbl_MasterMaterial[],4,FALSE)</f>
        <v>PCS</v>
      </c>
      <c r="I15" s="9" t="str">
        <f>IF(B15="Goods Receipt",_xlfn.XLOOKUP('10_Stock_Card'!E15,tbl_PutAway[GR Line Key (Helper)],tbl_PutAway[To Location]),_xlfn.XLOOKUP('10_Stock_Card'!E15,tbl_GoodsIssue[GI Line Key (Helper)],tbl_GoodsIssue[Issuing Location (Ref)]))</f>
        <v>A-01-02-01</v>
      </c>
      <c r="J15" s="12">
        <f>IF(B15="Goods Receipt",_xlfn.XLOOKUP('10_Stock_Card'!E15,tbl_GoodsReceipt[GR Line Key (Helper)],tbl_GoodsReceipt[Accepted Qty]),0)</f>
        <v>0</v>
      </c>
      <c r="K15" s="12">
        <f>IF(B15="Goods Issue",_xlfn.XLOOKUP(E15,tbl_GoodsIssue[GI Line Key (Helper)],tbl_GoodsIssue[Quantity Issued]),0)</f>
        <v>5</v>
      </c>
      <c r="L15" s="93">
        <f t="shared" si="0"/>
        <v>-5</v>
      </c>
      <c r="M15" s="19">
        <f>SUMIFS($L$4:L15,$F$4:F15,F15)</f>
        <v>55</v>
      </c>
      <c r="N15" s="6"/>
    </row>
    <row r="16" spans="1:14" x14ac:dyDescent="0.2">
      <c r="A16" s="71">
        <v>46259</v>
      </c>
      <c r="B16" s="63" t="str">
        <v>Goods Receipt</v>
      </c>
      <c r="C16" s="2" t="str">
        <v>GR-2026-0007</v>
      </c>
      <c r="D16" s="72">
        <v>10</v>
      </c>
      <c r="E16" s="17" t="str">
        <f t="shared" si="1"/>
        <v>GR-2026-0007-10</v>
      </c>
      <c r="F16" s="9" t="str">
        <f>IF(B16="Goods Receipt",_xlfn.XLOOKUP('10_Stock_Card'!E16,tbl_GoodsReceipt[GR Line Key (Helper)],tbl_GoodsReceipt[Material Code]),_xlfn.XLOOKUP('10_Stock_Card'!E16,tbl_GoodsIssue[GI Line Key (Helper)],tbl_GoodsIssue[Material Code]))</f>
        <v>MAT-00010</v>
      </c>
      <c r="G16" s="9" t="str">
        <f>VLOOKUP(F16,tbl_MasterMaterial[],2,FALSE)</f>
        <v>Welding Electrode E7018 3.2mm</v>
      </c>
      <c r="H16" s="10" t="str">
        <f>VLOOKUP(F16,tbl_MasterMaterial[],4,FALSE)</f>
        <v>KG</v>
      </c>
      <c r="I16" s="9" t="str">
        <f>IF(B16="Goods Receipt",_xlfn.XLOOKUP('10_Stock_Card'!E16,tbl_PutAway[GR Line Key (Helper)],tbl_PutAway[To Location]),_xlfn.XLOOKUP('10_Stock_Card'!E16,tbl_GoodsIssue[GI Line Key (Helper)],tbl_GoodsIssue[Issuing Location (Ref)]))</f>
        <v>A-01-01-02</v>
      </c>
      <c r="J16" s="12">
        <f>IF(B16="Goods Receipt",_xlfn.XLOOKUP('10_Stock_Card'!E16,tbl_GoodsReceipt[GR Line Key (Helper)],tbl_GoodsReceipt[Accepted Qty]),0)</f>
        <v>290</v>
      </c>
      <c r="K16" s="12">
        <f>IF(B16="Goods Issue",_xlfn.XLOOKUP(E16,tbl_GoodsIssue[GI Line Key (Helper)],tbl_GoodsIssue[Quantity Issued]),0)</f>
        <v>0</v>
      </c>
      <c r="L16" s="93">
        <f t="shared" si="0"/>
        <v>290</v>
      </c>
      <c r="M16" s="19">
        <f>SUMIFS($L$4:L16,$F$4:F16,F16)</f>
        <v>290</v>
      </c>
      <c r="N16" s="6"/>
    </row>
    <row r="17" spans="1:14" x14ac:dyDescent="0.2">
      <c r="A17" s="71">
        <v>46259</v>
      </c>
      <c r="B17" s="63" t="str">
        <v>Goods Issue</v>
      </c>
      <c r="C17" s="2" t="str">
        <v>GI-2026-0002</v>
      </c>
      <c r="D17" s="72">
        <v>10</v>
      </c>
      <c r="E17" s="17" t="str">
        <f t="shared" si="1"/>
        <v>GI-2026-0002-10</v>
      </c>
      <c r="F17" s="9" t="str">
        <f>IF(B17="Goods Receipt",_xlfn.XLOOKUP('10_Stock_Card'!E17,tbl_GoodsReceipt[GR Line Key (Helper)],tbl_GoodsReceipt[Material Code]),_xlfn.XLOOKUP('10_Stock_Card'!E17,tbl_GoodsIssue[GI Line Key (Helper)],tbl_GoodsIssue[Material Code]))</f>
        <v>MAT-00003</v>
      </c>
      <c r="G17" s="9" t="str">
        <f>VLOOKUP(F17,tbl_MasterMaterial[],2,FALSE)</f>
        <v>Engine Oil Filter (Cat 320D)</v>
      </c>
      <c r="H17" s="10" t="str">
        <f>VLOOKUP(F17,tbl_MasterMaterial[],4,FALSE)</f>
        <v>PCS</v>
      </c>
      <c r="I17" s="9" t="str">
        <f>IF(B17="Goods Receipt",_xlfn.XLOOKUP('10_Stock_Card'!E17,tbl_PutAway[GR Line Key (Helper)],tbl_PutAway[To Location]),_xlfn.XLOOKUP('10_Stock_Card'!E17,tbl_GoodsIssue[GI Line Key (Helper)],tbl_GoodsIssue[Issuing Location (Ref)]))</f>
        <v>A-02-01-01</v>
      </c>
      <c r="J17" s="12">
        <f>IF(B17="Goods Receipt",_xlfn.XLOOKUP('10_Stock_Card'!E17,tbl_GoodsReceipt[GR Line Key (Helper)],tbl_GoodsReceipt[Accepted Qty]),0)</f>
        <v>0</v>
      </c>
      <c r="K17" s="12">
        <f>IF(B17="Goods Issue",_xlfn.XLOOKUP(E17,tbl_GoodsIssue[GI Line Key (Helper)],tbl_GoodsIssue[Quantity Issued]),0)</f>
        <v>15</v>
      </c>
      <c r="L17" s="93">
        <f t="shared" si="0"/>
        <v>-15</v>
      </c>
      <c r="M17" s="19">
        <f>SUMIFS($L$4:L17,$F$4:F17,F17)</f>
        <v>65</v>
      </c>
      <c r="N17" s="6"/>
    </row>
    <row r="18" spans="1:14" x14ac:dyDescent="0.2">
      <c r="A18" s="71">
        <v>46260</v>
      </c>
      <c r="B18" s="63" t="str">
        <v>Goods Receipt</v>
      </c>
      <c r="C18" s="2" t="str">
        <v>GR-2026-0008</v>
      </c>
      <c r="D18" s="72">
        <v>10</v>
      </c>
      <c r="E18" s="17" t="str">
        <f t="shared" si="1"/>
        <v>GR-2026-0008-10</v>
      </c>
      <c r="F18" s="9" t="str">
        <f>IF(B18="Goods Receipt",_xlfn.XLOOKUP('10_Stock_Card'!E18,tbl_GoodsReceipt[GR Line Key (Helper)],tbl_GoodsReceipt[Material Code]),_xlfn.XLOOKUP('10_Stock_Card'!E18,tbl_GoodsIssue[GI Line Key (Helper)],tbl_GoodsIssue[Material Code]))</f>
        <v>MAT-00002</v>
      </c>
      <c r="G18" s="9" t="str">
        <f>VLOOKUP(F18,tbl_MasterMaterial[],2,FALSE)</f>
        <v>Steel Plate 10mm x 2m x 1m</v>
      </c>
      <c r="H18" s="10" t="str">
        <f>VLOOKUP(F18,tbl_MasterMaterial[],4,FALSE)</f>
        <v>PCS</v>
      </c>
      <c r="I18" s="9" t="str">
        <f>IF(B18="Goods Receipt",_xlfn.XLOOKUP('10_Stock_Card'!E18,tbl_PutAway[GR Line Key (Helper)],tbl_PutAway[To Location]),_xlfn.XLOOKUP('10_Stock_Card'!E18,tbl_GoodsIssue[GI Line Key (Helper)],tbl_GoodsIssue[Issuing Location (Ref)]))</f>
        <v>C-01-01</v>
      </c>
      <c r="J18" s="12">
        <f>IF(B18="Goods Receipt",_xlfn.XLOOKUP('10_Stock_Card'!E18,tbl_GoodsReceipt[GR Line Key (Helper)],tbl_GoodsReceipt[Accepted Qty]),0)</f>
        <v>60</v>
      </c>
      <c r="K18" s="12">
        <f>IF(B18="Goods Issue",_xlfn.XLOOKUP(E18,tbl_GoodsIssue[GI Line Key (Helper)],tbl_GoodsIssue[Quantity Issued]),0)</f>
        <v>0</v>
      </c>
      <c r="L18" s="93">
        <f t="shared" si="0"/>
        <v>60</v>
      </c>
      <c r="M18" s="19">
        <f>SUMIFS($L$4:L18,$F$4:F18,F18)</f>
        <v>60</v>
      </c>
      <c r="N18" s="6"/>
    </row>
    <row r="19" spans="1:14" x14ac:dyDescent="0.2">
      <c r="A19" s="71">
        <v>46260</v>
      </c>
      <c r="B19" s="63" t="str">
        <v>Goods Receipt</v>
      </c>
      <c r="C19" s="2" t="str">
        <v>GR-2026-0008</v>
      </c>
      <c r="D19" s="72">
        <v>20</v>
      </c>
      <c r="E19" s="17" t="str">
        <f t="shared" si="1"/>
        <v>GR-2026-0008-20</v>
      </c>
      <c r="F19" s="9" t="str">
        <f>IF(B19="Goods Receipt",_xlfn.XLOOKUP('10_Stock_Card'!E19,tbl_GoodsReceipt[GR Line Key (Helper)],tbl_GoodsReceipt[Material Code]),_xlfn.XLOOKUP('10_Stock_Card'!E19,tbl_GoodsIssue[GI Line Key (Helper)],tbl_GoodsIssue[Material Code]))</f>
        <v>MAT-00004</v>
      </c>
      <c r="G19" s="9" t="str">
        <f>VLOOKUP(F19,tbl_MasterMaterial[],2,FALSE)</f>
        <v>Hex Bolt M12x50 Grade 8.8</v>
      </c>
      <c r="H19" s="10" t="str">
        <f>VLOOKUP(F19,tbl_MasterMaterial[],4,FALSE)</f>
        <v>PCS</v>
      </c>
      <c r="I19" s="9" t="str">
        <f>IF(B19="Goods Receipt",_xlfn.XLOOKUP('10_Stock_Card'!E19,tbl_PutAway[GR Line Key (Helper)],tbl_PutAway[To Location]),_xlfn.XLOOKUP('10_Stock_Card'!E19,tbl_GoodsIssue[GI Line Key (Helper)],tbl_GoodsIssue[Issuing Location (Ref)]))</f>
        <v>D-01-01-01</v>
      </c>
      <c r="J19" s="12">
        <f>IF(B19="Goods Receipt",_xlfn.XLOOKUP('10_Stock_Card'!E19,tbl_GoodsReceipt[GR Line Key (Helper)],tbl_GoodsReceipt[Accepted Qty]),0)</f>
        <v>2500</v>
      </c>
      <c r="K19" s="12">
        <f>IF(B19="Goods Issue",_xlfn.XLOOKUP(E19,tbl_GoodsIssue[GI Line Key (Helper)],tbl_GoodsIssue[Quantity Issued]),0)</f>
        <v>0</v>
      </c>
      <c r="L19" s="93">
        <f t="shared" si="0"/>
        <v>2500</v>
      </c>
      <c r="M19" s="19">
        <f>SUMIFS($L$4:L19,$F$4:F19,F19)</f>
        <v>2500</v>
      </c>
      <c r="N19" s="6"/>
    </row>
    <row r="20" spans="1:14" x14ac:dyDescent="0.2">
      <c r="A20" s="71">
        <v>46263</v>
      </c>
      <c r="B20" s="63" t="str">
        <v>Goods Issue</v>
      </c>
      <c r="C20" s="2" t="str">
        <v>GI-2026-0003</v>
      </c>
      <c r="D20" s="72">
        <v>10</v>
      </c>
      <c r="E20" s="17" t="str">
        <f t="shared" si="1"/>
        <v>GI-2026-0003-10</v>
      </c>
      <c r="F20" s="9" t="str">
        <f>IF(B20="Goods Receipt",_xlfn.XLOOKUP('10_Stock_Card'!E20,tbl_GoodsReceipt[GR Line Key (Helper)],tbl_GoodsReceipt[Material Code]),_xlfn.XLOOKUP('10_Stock_Card'!E20,tbl_GoodsIssue[GI Line Key (Helper)],tbl_GoodsIssue[Material Code]))</f>
        <v>MAT-00004</v>
      </c>
      <c r="G20" s="9" t="str">
        <f>VLOOKUP(F20,tbl_MasterMaterial[],2,FALSE)</f>
        <v>Hex Bolt M12x50 Grade 8.8</v>
      </c>
      <c r="H20" s="10" t="str">
        <f>VLOOKUP(F20,tbl_MasterMaterial[],4,FALSE)</f>
        <v>PCS</v>
      </c>
      <c r="I20" s="9" t="str">
        <f>IF(B20="Goods Receipt",_xlfn.XLOOKUP('10_Stock_Card'!E20,tbl_PutAway[GR Line Key (Helper)],tbl_PutAway[To Location]),_xlfn.XLOOKUP('10_Stock_Card'!E20,tbl_GoodsIssue[GI Line Key (Helper)],tbl_GoodsIssue[Issuing Location (Ref)]))</f>
        <v>D-01-01-01</v>
      </c>
      <c r="J20" s="12">
        <f>IF(B20="Goods Receipt",_xlfn.XLOOKUP('10_Stock_Card'!E20,tbl_GoodsReceipt[GR Line Key (Helper)],tbl_GoodsReceipt[Accepted Qty]),0)</f>
        <v>0</v>
      </c>
      <c r="K20" s="12">
        <f>IF(B20="Goods Issue",_xlfn.XLOOKUP(E20,tbl_GoodsIssue[GI Line Key (Helper)],tbl_GoodsIssue[Quantity Issued]),0)</f>
        <v>1000</v>
      </c>
      <c r="L20" s="93">
        <f t="shared" si="0"/>
        <v>-1000</v>
      </c>
      <c r="M20" s="19">
        <f>SUMIFS($L$4:L20,$F$4:F20,F20)</f>
        <v>1500</v>
      </c>
      <c r="N20" s="6"/>
    </row>
    <row r="21" spans="1:14" x14ac:dyDescent="0.2">
      <c r="A21" s="71">
        <v>46265</v>
      </c>
      <c r="B21" s="63" t="str">
        <v>Goods Issue</v>
      </c>
      <c r="C21" s="2" t="str">
        <v>GI-2026-0004</v>
      </c>
      <c r="D21" s="72">
        <v>10</v>
      </c>
      <c r="E21" s="17" t="str">
        <f>C21&amp;"-"&amp;D21</f>
        <v>GI-2026-0004-10</v>
      </c>
      <c r="F21" s="9" t="str">
        <f>IF(B21="Goods Receipt",_xlfn.XLOOKUP('10_Stock_Card'!E21,tbl_GoodsReceipt[GR Line Key (Helper)],tbl_GoodsReceipt[Material Code]),_xlfn.XLOOKUP('10_Stock_Card'!E21,tbl_GoodsIssue[GI Line Key (Helper)],tbl_GoodsIssue[Material Code]))</f>
        <v>MAT-00010</v>
      </c>
      <c r="G21" s="9" t="str">
        <f>VLOOKUP(F21,tbl_MasterMaterial[],2,FALSE)</f>
        <v>Welding Electrode E7018 3.2mm</v>
      </c>
      <c r="H21" s="10" t="str">
        <f>VLOOKUP(F21,tbl_MasterMaterial[],4,FALSE)</f>
        <v>KG</v>
      </c>
      <c r="I21" s="9" t="str">
        <f>IF(B21="Goods Receipt",_xlfn.XLOOKUP('10_Stock_Card'!E21,tbl_PutAway[GR Line Key (Helper)],tbl_PutAway[To Location]),_xlfn.XLOOKUP('10_Stock_Card'!E21,tbl_GoodsIssue[GI Line Key (Helper)],tbl_GoodsIssue[Issuing Location (Ref)]))</f>
        <v>A-01-01-02</v>
      </c>
      <c r="J21" s="12">
        <f>IF(B21="Goods Receipt",_xlfn.XLOOKUP('10_Stock_Card'!E21,tbl_GoodsReceipt[GR Line Key (Helper)],tbl_GoodsReceipt[Accepted Qty]),0)</f>
        <v>0</v>
      </c>
      <c r="K21" s="12">
        <f>IF(B21="Goods Issue",_xlfn.XLOOKUP(E21,tbl_GoodsIssue[GI Line Key (Helper)],tbl_GoodsIssue[Quantity Issued]),0)</f>
        <v>6</v>
      </c>
      <c r="L21" s="93">
        <f t="shared" si="0"/>
        <v>-6</v>
      </c>
      <c r="M21" s="19">
        <f>SUMIFS($L$4:L21,$F$4:F21,F21)</f>
        <v>284</v>
      </c>
      <c r="N21" s="6"/>
    </row>
    <row r="22" spans="1:14" x14ac:dyDescent="0.2">
      <c r="A22" s="71">
        <v>46265</v>
      </c>
      <c r="B22" s="63" t="str">
        <v>Goods Issue</v>
      </c>
      <c r="C22" s="2" t="str">
        <v>GI-2026-0004</v>
      </c>
      <c r="D22" s="72">
        <v>20</v>
      </c>
      <c r="E22" s="17" t="str">
        <f t="shared" si="1"/>
        <v>GI-2026-0004-20</v>
      </c>
      <c r="F22" s="9" t="str">
        <f>IF(B22="Goods Receipt",_xlfn.XLOOKUP('10_Stock_Card'!E22,tbl_GoodsReceipt[GR Line Key (Helper)],tbl_GoodsReceipt[Material Code]),_xlfn.XLOOKUP('10_Stock_Card'!E22,tbl_GoodsIssue[GI Line Key (Helper)],tbl_GoodsIssue[Material Code]))</f>
        <v>MAT-00014</v>
      </c>
      <c r="G22" s="9" t="str">
        <f>VLOOKUP(F22,tbl_MasterMaterial[],2,FALSE)</f>
        <v>Flat Washer M12 Zinc Plated</v>
      </c>
      <c r="H22" s="10" t="str">
        <f>VLOOKUP(F22,tbl_MasterMaterial[],4,FALSE)</f>
        <v>PCS</v>
      </c>
      <c r="I22" s="9" t="str">
        <f>IF(B22="Goods Receipt",_xlfn.XLOOKUP('10_Stock_Card'!E22,tbl_PutAway[GR Line Key (Helper)],tbl_PutAway[To Location]),_xlfn.XLOOKUP('10_Stock_Card'!E22,tbl_GoodsIssue[GI Line Key (Helper)],tbl_GoodsIssue[Issuing Location (Ref)]))</f>
        <v>D-01-01-02</v>
      </c>
      <c r="J22" s="12">
        <f>IF(B22="Goods Receipt",_xlfn.XLOOKUP('10_Stock_Card'!E22,tbl_GoodsReceipt[GR Line Key (Helper)],tbl_GoodsReceipt[Accepted Qty]),0)</f>
        <v>0</v>
      </c>
      <c r="K22" s="12">
        <f>IF(B22="Goods Issue",_xlfn.XLOOKUP(E22,tbl_GoodsIssue[GI Line Key (Helper)],tbl_GoodsIssue[Quantity Issued]),0)</f>
        <v>1995</v>
      </c>
      <c r="L22" s="93">
        <f t="shared" si="0"/>
        <v>-1995</v>
      </c>
      <c r="M22" s="19">
        <f>SUMIFS($L$4:L22,$F$4:F22,F22)</f>
        <v>3005</v>
      </c>
      <c r="N22" s="6"/>
    </row>
    <row r="23" spans="1:14" x14ac:dyDescent="0.2">
      <c r="A23" s="71">
        <v>46268</v>
      </c>
      <c r="B23" s="63" t="str">
        <v>Goods Issue</v>
      </c>
      <c r="C23" s="2" t="str">
        <v>GI-2026-0005</v>
      </c>
      <c r="D23" s="72">
        <v>10</v>
      </c>
      <c r="E23" s="17" t="str">
        <f t="shared" si="1"/>
        <v>GI-2026-0005-10</v>
      </c>
      <c r="F23" s="9" t="str">
        <f>IF(B23="Goods Receipt",_xlfn.XLOOKUP('10_Stock_Card'!E23,tbl_GoodsReceipt[GR Line Key (Helper)],tbl_GoodsReceipt[Material Code]),_xlfn.XLOOKUP('10_Stock_Card'!E23,tbl_GoodsIssue[GI Line Key (Helper)],tbl_GoodsIssue[Material Code]))</f>
        <v>MAT-00002</v>
      </c>
      <c r="G23" s="9" t="str">
        <f>VLOOKUP(F23,tbl_MasterMaterial[],2,FALSE)</f>
        <v>Steel Plate 10mm x 2m x 1m</v>
      </c>
      <c r="H23" s="10" t="str">
        <f>VLOOKUP(F23,tbl_MasterMaterial[],4,FALSE)</f>
        <v>PCS</v>
      </c>
      <c r="I23" s="9" t="str">
        <f>IF(B23="Goods Receipt",_xlfn.XLOOKUP('10_Stock_Card'!E23,tbl_PutAway[GR Line Key (Helper)],tbl_PutAway[To Location]),_xlfn.XLOOKUP('10_Stock_Card'!E23,tbl_GoodsIssue[GI Line Key (Helper)],tbl_GoodsIssue[Issuing Location (Ref)]))</f>
        <v>C-01-01</v>
      </c>
      <c r="J23" s="12">
        <f>IF(B23="Goods Receipt",_xlfn.XLOOKUP('10_Stock_Card'!E23,tbl_GoodsReceipt[GR Line Key (Helper)],tbl_GoodsReceipt[Accepted Qty]),0)</f>
        <v>0</v>
      </c>
      <c r="K23" s="12">
        <f>IF(B23="Goods Issue",_xlfn.XLOOKUP(E23,tbl_GoodsIssue[GI Line Key (Helper)],tbl_GoodsIssue[Quantity Issued]),0)</f>
        <v>15</v>
      </c>
      <c r="L23" s="93">
        <f t="shared" si="0"/>
        <v>-15</v>
      </c>
      <c r="M23" s="19">
        <f>SUMIFS($L$4:L23,$F$4:F23,F23)</f>
        <v>45</v>
      </c>
      <c r="N23" s="6"/>
    </row>
    <row r="24" spans="1:14" x14ac:dyDescent="0.2">
      <c r="A24" s="71">
        <v>46273</v>
      </c>
      <c r="B24" s="63" t="str">
        <v>Goods Receipt</v>
      </c>
      <c r="C24" s="2" t="str">
        <v>GR-2026-0009</v>
      </c>
      <c r="D24" s="72">
        <v>10</v>
      </c>
      <c r="E24" s="17" t="str">
        <f t="shared" si="1"/>
        <v>GR-2026-0009-10</v>
      </c>
      <c r="F24" s="9" t="str">
        <f>IF(B24="Goods Receipt",_xlfn.XLOOKUP('10_Stock_Card'!E24,tbl_GoodsReceipt[GR Line Key (Helper)],tbl_GoodsReceipt[Material Code]),_xlfn.XLOOKUP('10_Stock_Card'!E24,tbl_GoodsIssue[GI Line Key (Helper)],tbl_GoodsIssue[Material Code]))</f>
        <v>MAT-00017</v>
      </c>
      <c r="G24" s="9" t="str">
        <f>VLOOKUP(F24,tbl_MasterMaterial[],2,FALSE)</f>
        <v>Steel I-Beam 6m Length</v>
      </c>
      <c r="H24" s="10" t="str">
        <f>VLOOKUP(F24,tbl_MasterMaterial[],4,FALSE)</f>
        <v>PCS</v>
      </c>
      <c r="I24" s="9" t="str">
        <f>IF(B24="Goods Receipt",_xlfn.XLOOKUP('10_Stock_Card'!E24,tbl_PutAway[GR Line Key (Helper)],tbl_PutAway[To Location]),_xlfn.XLOOKUP('10_Stock_Card'!E24,tbl_GoodsIssue[GI Line Key (Helper)],tbl_GoodsIssue[Issuing Location (Ref)]))</f>
        <v>C-01-02</v>
      </c>
      <c r="J24" s="12">
        <f>IF(B24="Goods Receipt",_xlfn.XLOOKUP('10_Stock_Card'!E24,tbl_GoodsReceipt[GR Line Key (Helper)],tbl_GoodsReceipt[Accepted Qty]),0)</f>
        <v>50</v>
      </c>
      <c r="K24" s="12">
        <f>IF(B24="Goods Issue",_xlfn.XLOOKUP(E24,tbl_GoodsIssue[GI Line Key (Helper)],tbl_GoodsIssue[Quantity Issued]),0)</f>
        <v>0</v>
      </c>
      <c r="L24" s="93">
        <f t="shared" si="0"/>
        <v>50</v>
      </c>
      <c r="M24" s="19">
        <f>SUMIFS($L$4:L24,$F$4:F24,F24)</f>
        <v>50</v>
      </c>
      <c r="N24" s="6"/>
    </row>
    <row r="25" spans="1:14" x14ac:dyDescent="0.2">
      <c r="A25" s="71">
        <v>46275</v>
      </c>
      <c r="B25" s="63" t="str">
        <v>Goods Receipt</v>
      </c>
      <c r="C25" s="2" t="str">
        <v>GR-2026-0010</v>
      </c>
      <c r="D25" s="72">
        <v>10</v>
      </c>
      <c r="E25" s="17" t="str">
        <f t="shared" si="1"/>
        <v>GR-2026-0010-10</v>
      </c>
      <c r="F25" s="9" t="str">
        <f>IF(B25="Goods Receipt",_xlfn.XLOOKUP('10_Stock_Card'!E25,tbl_GoodsReceipt[GR Line Key (Helper)],tbl_GoodsReceipt[Material Code]),_xlfn.XLOOKUP('10_Stock_Card'!E25,tbl_GoodsIssue[GI Line Key (Helper)],tbl_GoodsIssue[Material Code]))</f>
        <v>MAT-00012</v>
      </c>
      <c r="G25" s="9" t="str">
        <f>VLOOKUP(F25,tbl_MasterMaterial[],2,FALSE)</f>
        <v>Bucket Teeth (CAT style)</v>
      </c>
      <c r="H25" s="10" t="str">
        <f>VLOOKUP(F25,tbl_MasterMaterial[],4,FALSE)</f>
        <v>PCS</v>
      </c>
      <c r="I25" s="9" t="str">
        <f>IF(B25="Goods Receipt",_xlfn.XLOOKUP('10_Stock_Card'!E25,tbl_PutAway[GR Line Key (Helper)],tbl_PutAway[To Location]),_xlfn.XLOOKUP('10_Stock_Card'!E25,tbl_GoodsIssue[GI Line Key (Helper)],tbl_GoodsIssue[Issuing Location (Ref)]))</f>
        <v>B-02-01-01</v>
      </c>
      <c r="J25" s="12">
        <f>IF(B25="Goods Receipt",_xlfn.XLOOKUP('10_Stock_Card'!E25,tbl_GoodsReceipt[GR Line Key (Helper)],tbl_GoodsReceipt[Accepted Qty]),0)</f>
        <v>60</v>
      </c>
      <c r="K25" s="12">
        <f>IF(B25="Goods Issue",_xlfn.XLOOKUP(E25,tbl_GoodsIssue[GI Line Key (Helper)],tbl_GoodsIssue[Quantity Issued]),0)</f>
        <v>0</v>
      </c>
      <c r="L25" s="93">
        <f t="shared" si="0"/>
        <v>60</v>
      </c>
      <c r="M25" s="19">
        <f>SUMIFS($L$4:L25,$F$4:F25,F25)</f>
        <v>60</v>
      </c>
      <c r="N25" s="6"/>
    </row>
    <row r="26" spans="1:14" x14ac:dyDescent="0.2">
      <c r="A26" s="71">
        <v>46275</v>
      </c>
      <c r="B26" s="63" t="str">
        <v>Goods Issue</v>
      </c>
      <c r="C26" s="2" t="str">
        <v>GI-2026-0006</v>
      </c>
      <c r="D26" s="72">
        <v>10</v>
      </c>
      <c r="E26" s="17" t="str">
        <f t="shared" si="1"/>
        <v>GI-2026-0006-10</v>
      </c>
      <c r="F26" s="9" t="str">
        <f>IF(B26="Goods Receipt",_xlfn.XLOOKUP('10_Stock_Card'!E26,tbl_GoodsReceipt[GR Line Key (Helper)],tbl_GoodsReceipt[Material Code]),_xlfn.XLOOKUP('10_Stock_Card'!E26,tbl_GoodsIssue[GI Line Key (Helper)],tbl_GoodsIssue[Material Code]))</f>
        <v>MAT-00007</v>
      </c>
      <c r="G26" s="9" t="str">
        <f>VLOOKUP(F26,tbl_MasterMaterial[],2,FALSE)</f>
        <v>Air Filter Element - Primary</v>
      </c>
      <c r="H26" s="10" t="str">
        <f>VLOOKUP(F26,tbl_MasterMaterial[],4,FALSE)</f>
        <v>PCS</v>
      </c>
      <c r="I26" s="9" t="str">
        <f>IF(B26="Goods Receipt",_xlfn.XLOOKUP('10_Stock_Card'!E26,tbl_PutAway[GR Line Key (Helper)],tbl_PutAway[To Location]),_xlfn.XLOOKUP('10_Stock_Card'!E26,tbl_GoodsIssue[GI Line Key (Helper)],tbl_GoodsIssue[Issuing Location (Ref)]))</f>
        <v>A-02-01-02</v>
      </c>
      <c r="J26" s="12">
        <f>IF(B26="Goods Receipt",_xlfn.XLOOKUP('10_Stock_Card'!E26,tbl_GoodsReceipt[GR Line Key (Helper)],tbl_GoodsReceipt[Accepted Qty]),0)</f>
        <v>0</v>
      </c>
      <c r="K26" s="12">
        <f>IF(B26="Goods Issue",_xlfn.XLOOKUP(E26,tbl_GoodsIssue[GI Line Key (Helper)],tbl_GoodsIssue[Quantity Issued]),0)</f>
        <v>8</v>
      </c>
      <c r="L26" s="93">
        <f t="shared" si="0"/>
        <v>-8</v>
      </c>
      <c r="M26" s="19">
        <f>SUMIFS($L$4:L26,$F$4:F26,F26)</f>
        <v>52</v>
      </c>
      <c r="N26" s="6"/>
    </row>
    <row r="27" spans="1:14" x14ac:dyDescent="0.2">
      <c r="A27" s="71">
        <v>46276</v>
      </c>
      <c r="B27" s="63" t="str">
        <v>Goods Receipt</v>
      </c>
      <c r="C27" s="2" t="str">
        <v>GR-2026-0011</v>
      </c>
      <c r="D27" s="72">
        <v>10</v>
      </c>
      <c r="E27" s="17" t="str">
        <f t="shared" si="1"/>
        <v>GR-2026-0011-10</v>
      </c>
      <c r="F27" s="9" t="str">
        <f>IF(B27="Goods Receipt",_xlfn.XLOOKUP('10_Stock_Card'!E27,tbl_GoodsReceipt[GR Line Key (Helper)],tbl_GoodsReceipt[Material Code]),_xlfn.XLOOKUP('10_Stock_Card'!E27,tbl_GoodsIssue[GI Line Key (Helper)],tbl_GoodsIssue[Material Code]))</f>
        <v>MAT-00006</v>
      </c>
      <c r="G27" s="9" t="str">
        <f>VLOOKUP(F27,tbl_MasterMaterial[],2,FALSE)</f>
        <v>Track Roller Assembly</v>
      </c>
      <c r="H27" s="10" t="str">
        <f>VLOOKUP(F27,tbl_MasterMaterial[],4,FALSE)</f>
        <v>PCS</v>
      </c>
      <c r="I27" s="9" t="str">
        <f>IF(B27="Goods Receipt",_xlfn.XLOOKUP('10_Stock_Card'!E27,tbl_PutAway[GR Line Key (Helper)],tbl_PutAway[To Location]),_xlfn.XLOOKUP('10_Stock_Card'!E27,tbl_GoodsIssue[GI Line Key (Helper)],tbl_GoodsIssue[Issuing Location (Ref)]))</f>
        <v>B-01-01-01</v>
      </c>
      <c r="J27" s="12">
        <f>IF(B27="Goods Receipt",_xlfn.XLOOKUP('10_Stock_Card'!E27,tbl_GoodsReceipt[GR Line Key (Helper)],tbl_GoodsReceipt[Accepted Qty]),0)</f>
        <v>43</v>
      </c>
      <c r="K27" s="12">
        <f>IF(B27="Goods Issue",_xlfn.XLOOKUP(E27,tbl_GoodsIssue[GI Line Key (Helper)],tbl_GoodsIssue[Quantity Issued]),0)</f>
        <v>0</v>
      </c>
      <c r="L27" s="93">
        <f t="shared" si="0"/>
        <v>43</v>
      </c>
      <c r="M27" s="19">
        <f>SUMIFS($L$4:L27,$F$4:F27,F27)</f>
        <v>43</v>
      </c>
      <c r="N27" s="6"/>
    </row>
    <row r="28" spans="1:14" x14ac:dyDescent="0.2">
      <c r="A28" s="71">
        <v>46278</v>
      </c>
      <c r="B28" s="63" t="str">
        <v>Goods Issue</v>
      </c>
      <c r="C28" s="2" t="str">
        <v>GI-2026-0007</v>
      </c>
      <c r="D28" s="72">
        <v>10</v>
      </c>
      <c r="E28" s="17" t="str">
        <f t="shared" si="1"/>
        <v>GI-2026-0007-10</v>
      </c>
      <c r="F28" s="9" t="str">
        <f>IF(B28="Goods Receipt",_xlfn.XLOOKUP('10_Stock_Card'!E28,tbl_GoodsReceipt[GR Line Key (Helper)],tbl_GoodsReceipt[Material Code]),_xlfn.XLOOKUP('10_Stock_Card'!E28,tbl_GoodsIssue[GI Line Key (Helper)],tbl_GoodsIssue[Material Code]))</f>
        <v>MAT-00006</v>
      </c>
      <c r="G28" s="9" t="str">
        <f>VLOOKUP(F28,tbl_MasterMaterial[],2,FALSE)</f>
        <v>Track Roller Assembly</v>
      </c>
      <c r="H28" s="10" t="str">
        <f>VLOOKUP(F28,tbl_MasterMaterial[],4,FALSE)</f>
        <v>PCS</v>
      </c>
      <c r="I28" s="9" t="str">
        <f>IF(B28="Goods Receipt",_xlfn.XLOOKUP('10_Stock_Card'!E28,tbl_PutAway[GR Line Key (Helper)],tbl_PutAway[To Location]),_xlfn.XLOOKUP('10_Stock_Card'!E28,tbl_GoodsIssue[GI Line Key (Helper)],tbl_GoodsIssue[Issuing Location (Ref)]))</f>
        <v>B-01-01-01</v>
      </c>
      <c r="J28" s="12">
        <f>IF(B28="Goods Receipt",_xlfn.XLOOKUP('10_Stock_Card'!E28,tbl_GoodsReceipt[GR Line Key (Helper)],tbl_GoodsReceipt[Accepted Qty]),0)</f>
        <v>0</v>
      </c>
      <c r="K28" s="12">
        <f>IF(B28="Goods Issue",_xlfn.XLOOKUP(E28,tbl_GoodsIssue[GI Line Key (Helper)],tbl_GoodsIssue[Quantity Issued]),0)</f>
        <v>15</v>
      </c>
      <c r="L28" s="93">
        <f t="shared" si="0"/>
        <v>-15</v>
      </c>
      <c r="M28" s="19">
        <f>SUMIFS($L$4:L28,$F$4:F28,F28)</f>
        <v>28</v>
      </c>
      <c r="N28" s="6" t="s">
        <v>211</v>
      </c>
    </row>
    <row r="29" spans="1:14" x14ac:dyDescent="0.2">
      <c r="A29" s="71">
        <v>46282</v>
      </c>
      <c r="B29" s="63" t="str">
        <v>Goods Receipt</v>
      </c>
      <c r="C29" s="2" t="str">
        <v>GR-2026-0012</v>
      </c>
      <c r="D29" s="72">
        <v>10</v>
      </c>
      <c r="E29" s="17" t="str">
        <f t="shared" si="1"/>
        <v>GR-2026-0012-10</v>
      </c>
      <c r="F29" s="9" t="str">
        <f>IF(B29="Goods Receipt",_xlfn.XLOOKUP('10_Stock_Card'!E29,tbl_GoodsReceipt[GR Line Key (Helper)],tbl_GoodsReceipt[Material Code]),_xlfn.XLOOKUP('10_Stock_Card'!E29,tbl_GoodsIssue[GI Line Key (Helper)],tbl_GoodsIssue[Material Code]))</f>
        <v>MAT-00015</v>
      </c>
      <c r="G29" s="9" t="str">
        <f>VLOOKUP(F29,tbl_MasterMaterial[],2,FALSE)</f>
        <v>Turbocharger Assembly (Cat C15)</v>
      </c>
      <c r="H29" s="10" t="str">
        <f>VLOOKUP(F29,tbl_MasterMaterial[],4,FALSE)</f>
        <v>PCS</v>
      </c>
      <c r="I29" s="9" t="str">
        <f>IF(B29="Goods Receipt",_xlfn.XLOOKUP('10_Stock_Card'!E29,tbl_PutAway[GR Line Key (Helper)],tbl_PutAway[To Location]),_xlfn.XLOOKUP('10_Stock_Card'!E29,tbl_GoodsIssue[GI Line Key (Helper)],tbl_GoodsIssue[Issuing Location (Ref)]))</f>
        <v>B-01-01-02</v>
      </c>
      <c r="J29" s="12">
        <f>IF(B29="Goods Receipt",_xlfn.XLOOKUP('10_Stock_Card'!E29,tbl_GoodsReceipt[GR Line Key (Helper)],tbl_GoodsReceipt[Accepted Qty]),0)</f>
        <v>30</v>
      </c>
      <c r="K29" s="12">
        <f>IF(B29="Goods Issue",_xlfn.XLOOKUP(E29,tbl_GoodsIssue[GI Line Key (Helper)],tbl_GoodsIssue[Quantity Issued]),0)</f>
        <v>0</v>
      </c>
      <c r="L29" s="93">
        <f t="shared" si="0"/>
        <v>30</v>
      </c>
      <c r="M29" s="19">
        <f>SUMIFS($L$4:L29,$F$4:F29,F29)</f>
        <v>30</v>
      </c>
      <c r="N29" s="6"/>
    </row>
    <row r="30" spans="1:14" x14ac:dyDescent="0.2">
      <c r="A30" s="71">
        <v>46285</v>
      </c>
      <c r="B30" s="63" t="str">
        <v>Goods Issue</v>
      </c>
      <c r="C30" s="2" t="str">
        <v>GI-2026-0008</v>
      </c>
      <c r="D30" s="72">
        <v>10</v>
      </c>
      <c r="E30" s="17" t="str">
        <f t="shared" si="1"/>
        <v>GI-2026-0008-10</v>
      </c>
      <c r="F30" s="9" t="str">
        <f>IF(B30="Goods Receipt",_xlfn.XLOOKUP('10_Stock_Card'!E30,tbl_GoodsReceipt[GR Line Key (Helper)],tbl_GoodsReceipt[Material Code]),_xlfn.XLOOKUP('10_Stock_Card'!E30,tbl_GoodsIssue[GI Line Key (Helper)],tbl_GoodsIssue[Material Code]))</f>
        <v>MAT-00012</v>
      </c>
      <c r="G30" s="9" t="str">
        <f>VLOOKUP(F30,tbl_MasterMaterial[],2,FALSE)</f>
        <v>Bucket Teeth (CAT style)</v>
      </c>
      <c r="H30" s="10" t="str">
        <f>VLOOKUP(F30,tbl_MasterMaterial[],4,FALSE)</f>
        <v>PCS</v>
      </c>
      <c r="I30" s="9" t="str">
        <f>IF(B30="Goods Receipt",_xlfn.XLOOKUP('10_Stock_Card'!E30,tbl_PutAway[GR Line Key (Helper)],tbl_PutAway[To Location]),_xlfn.XLOOKUP('10_Stock_Card'!E30,tbl_GoodsIssue[GI Line Key (Helper)],tbl_GoodsIssue[Issuing Location (Ref)]))</f>
        <v>B-02-01-01</v>
      </c>
      <c r="J30" s="12">
        <f>IF(B30="Goods Receipt",_xlfn.XLOOKUP('10_Stock_Card'!E30,tbl_GoodsReceipt[GR Line Key (Helper)],tbl_GoodsReceipt[Accepted Qty]),0)</f>
        <v>0</v>
      </c>
      <c r="K30" s="12">
        <f>IF(B30="Goods Issue",_xlfn.XLOOKUP(E30,tbl_GoodsIssue[GI Line Key (Helper)],tbl_GoodsIssue[Quantity Issued]),0)</f>
        <v>22</v>
      </c>
      <c r="L30" s="93">
        <f t="shared" si="0"/>
        <v>-22</v>
      </c>
      <c r="M30" s="19">
        <f>SUMIFS($L$4:L30,$F$4:F30,F30)</f>
        <v>38</v>
      </c>
      <c r="N30" s="6"/>
    </row>
    <row r="31" spans="1:14" x14ac:dyDescent="0.2">
      <c r="A31" s="71">
        <v>46288</v>
      </c>
      <c r="B31" s="63" t="str">
        <v>Goods Issue</v>
      </c>
      <c r="C31" s="2" t="str">
        <v>GI-2026-0009</v>
      </c>
      <c r="D31" s="72">
        <v>10</v>
      </c>
      <c r="E31" s="17" t="str">
        <f t="shared" si="1"/>
        <v>GI-2026-0009-10</v>
      </c>
      <c r="F31" s="9" t="str">
        <f>IF(B31="Goods Receipt",_xlfn.XLOOKUP('10_Stock_Card'!E31,tbl_GoodsReceipt[GR Line Key (Helper)],tbl_GoodsReceipt[Material Code]),_xlfn.XLOOKUP('10_Stock_Card'!E31,tbl_GoodsIssue[GI Line Key (Helper)],tbl_GoodsIssue[Material Code]))</f>
        <v>MAT-00013</v>
      </c>
      <c r="G31" s="9" t="str">
        <f>VLOOKUP(F31,tbl_MasterMaterial[],2,FALSE)</f>
        <v>Radiator Coolant 20L</v>
      </c>
      <c r="H31" s="10" t="str">
        <f>VLOOKUP(F31,tbl_MasterMaterial[],4,FALSE)</f>
        <v>LTR</v>
      </c>
      <c r="I31" s="9" t="str">
        <f>IF(B31="Goods Receipt",_xlfn.XLOOKUP('10_Stock_Card'!E31,tbl_PutAway[GR Line Key (Helper)],tbl_PutAway[To Location]),_xlfn.XLOOKUP('10_Stock_Card'!E31,tbl_GoodsIssue[GI Line Key (Helper)],tbl_GoodsIssue[Issuing Location (Ref)]))</f>
        <v>D-02-01-02</v>
      </c>
      <c r="J31" s="12">
        <f>IF(B31="Goods Receipt",_xlfn.XLOOKUP('10_Stock_Card'!E31,tbl_GoodsReceipt[GR Line Key (Helper)],tbl_GoodsReceipt[Accepted Qty]),0)</f>
        <v>0</v>
      </c>
      <c r="K31" s="12">
        <f>IF(B31="Goods Issue",_xlfn.XLOOKUP(E31,tbl_GoodsIssue[GI Line Key (Helper)],tbl_GoodsIssue[Quantity Issued]),0)</f>
        <v>15</v>
      </c>
      <c r="L31" s="93">
        <f t="shared" si="0"/>
        <v>-15</v>
      </c>
      <c r="M31" s="19">
        <f>SUMIFS($L$4:L31,$F$4:F31,F31)</f>
        <v>105</v>
      </c>
      <c r="N31" s="6"/>
    </row>
    <row r="32" spans="1:14" x14ac:dyDescent="0.2">
      <c r="A32" s="71">
        <v>46289</v>
      </c>
      <c r="B32" s="63" t="str">
        <v>Goods Issue</v>
      </c>
      <c r="C32" s="2" t="str">
        <v>GI-2026-0010</v>
      </c>
      <c r="D32" s="72">
        <v>10</v>
      </c>
      <c r="E32" s="17" t="str">
        <f t="shared" si="1"/>
        <v>GI-2026-0010-10</v>
      </c>
      <c r="F32" s="9" t="str">
        <f>IF(B32="Goods Receipt",_xlfn.XLOOKUP('10_Stock_Card'!E32,tbl_GoodsReceipt[GR Line Key (Helper)],tbl_GoodsReceipt[Material Code]),_xlfn.XLOOKUP('10_Stock_Card'!E32,tbl_GoodsIssue[GI Line Key (Helper)],tbl_GoodsIssue[Material Code]))</f>
        <v>MAT-00015</v>
      </c>
      <c r="G32" s="9" t="str">
        <f>VLOOKUP(F32,tbl_MasterMaterial[],2,FALSE)</f>
        <v>Turbocharger Assembly (Cat C15)</v>
      </c>
      <c r="H32" s="10" t="str">
        <f>VLOOKUP(F32,tbl_MasterMaterial[],4,FALSE)</f>
        <v>PCS</v>
      </c>
      <c r="I32" s="9" t="str">
        <f>IF(B32="Goods Receipt",_xlfn.XLOOKUP('10_Stock_Card'!E32,tbl_PutAway[GR Line Key (Helper)],tbl_PutAway[To Location]),_xlfn.XLOOKUP('10_Stock_Card'!E32,tbl_GoodsIssue[GI Line Key (Helper)],tbl_GoodsIssue[Issuing Location (Ref)]))</f>
        <v>B-01-01-02</v>
      </c>
      <c r="J32" s="12">
        <f>IF(B32="Goods Receipt",_xlfn.XLOOKUP('10_Stock_Card'!E32,tbl_GoodsReceipt[GR Line Key (Helper)],tbl_GoodsReceipt[Accepted Qty]),0)</f>
        <v>0</v>
      </c>
      <c r="K32" s="12">
        <f>IF(B32="Goods Issue",_xlfn.XLOOKUP(E32,tbl_GoodsIssue[GI Line Key (Helper)],tbl_GoodsIssue[Quantity Issued]),0)</f>
        <v>3</v>
      </c>
      <c r="L32" s="93">
        <f t="shared" si="0"/>
        <v>-3</v>
      </c>
      <c r="M32" s="19">
        <f>SUMIFS($L$4:L32,$F$4:F32,F32)</f>
        <v>27</v>
      </c>
      <c r="N32" s="6"/>
    </row>
    <row r="33" spans="1:7" x14ac:dyDescent="0.2">
      <c r="A33" s="90"/>
      <c r="B33" s="90"/>
      <c r="C33" s="90"/>
      <c r="D33" s="90"/>
      <c r="E33" s="90"/>
      <c r="F33" s="90"/>
      <c r="G33" s="90"/>
    </row>
    <row r="34" spans="1:7" x14ac:dyDescent="0.2">
      <c r="A34" s="90"/>
      <c r="B34" s="90"/>
      <c r="C34" s="90"/>
      <c r="D34" s="90"/>
      <c r="E34" s="90"/>
      <c r="F34" s="90"/>
      <c r="G34" s="90"/>
    </row>
    <row r="35" spans="1:7" x14ac:dyDescent="0.2">
      <c r="A35" s="90"/>
      <c r="B35" s="90"/>
      <c r="C35" s="90"/>
      <c r="D35" s="90"/>
      <c r="E35" s="90"/>
      <c r="F35" s="90"/>
      <c r="G35" s="90"/>
    </row>
    <row r="36" spans="1:7" x14ac:dyDescent="0.2">
      <c r="A36" s="90"/>
      <c r="B36" s="90"/>
      <c r="C36" s="90"/>
      <c r="D36" s="90"/>
      <c r="E36" s="90"/>
      <c r="F36" s="90"/>
      <c r="G36" s="90"/>
    </row>
    <row r="37" spans="1:7" x14ac:dyDescent="0.2">
      <c r="A37" s="90"/>
      <c r="B37" s="90"/>
      <c r="C37" s="90"/>
      <c r="D37" s="90"/>
      <c r="E37" s="90"/>
      <c r="F37" s="90"/>
      <c r="G37" s="90"/>
    </row>
    <row r="38" spans="1:7" x14ac:dyDescent="0.2">
      <c r="A38" s="90"/>
      <c r="B38" s="90"/>
      <c r="C38" s="90"/>
      <c r="D38" s="90"/>
      <c r="E38" s="90"/>
      <c r="F38" s="90"/>
      <c r="G38" s="90"/>
    </row>
    <row r="39" spans="1:7" x14ac:dyDescent="0.2">
      <c r="A39" s="90"/>
      <c r="B39" s="90"/>
      <c r="C39" s="90"/>
      <c r="D39" s="90"/>
      <c r="E39" s="91"/>
      <c r="F39" s="90"/>
      <c r="G39" s="90"/>
    </row>
    <row r="40" spans="1:7" x14ac:dyDescent="0.2">
      <c r="A40" s="91"/>
      <c r="B40" s="90"/>
      <c r="C40" s="94"/>
      <c r="D40" s="90"/>
      <c r="E40" s="91"/>
      <c r="F40" s="90"/>
      <c r="G40" s="90"/>
    </row>
    <row r="41" spans="1:7" x14ac:dyDescent="0.2">
      <c r="A41" s="91"/>
      <c r="B41" s="90"/>
      <c r="C41" s="94"/>
      <c r="D41" s="90"/>
      <c r="E41" s="91"/>
      <c r="F41" s="90"/>
      <c r="G41" s="90"/>
    </row>
    <row r="42" spans="1:7" x14ac:dyDescent="0.2">
      <c r="A42" s="91"/>
      <c r="B42" s="90"/>
      <c r="C42" s="94"/>
      <c r="D42" s="90"/>
      <c r="E42" s="91"/>
      <c r="F42" s="90"/>
      <c r="G42" s="90"/>
    </row>
    <row r="43" spans="1:7" x14ac:dyDescent="0.2">
      <c r="A43" s="91"/>
      <c r="B43" s="90"/>
      <c r="C43" s="94"/>
      <c r="D43" s="90"/>
      <c r="E43" s="91"/>
      <c r="F43" s="90"/>
      <c r="G43" s="90"/>
    </row>
    <row r="44" spans="1:7" x14ac:dyDescent="0.2">
      <c r="A44" s="91"/>
      <c r="B44" s="90"/>
      <c r="C44" s="94"/>
      <c r="D44" s="90"/>
      <c r="E44" s="91"/>
      <c r="F44" s="90"/>
      <c r="G44" s="90"/>
    </row>
    <row r="45" spans="1:7" x14ac:dyDescent="0.2">
      <c r="A45" s="91"/>
      <c r="B45" s="90"/>
      <c r="C45" s="94"/>
      <c r="D45" s="90"/>
      <c r="E45" s="91"/>
      <c r="F45" s="90"/>
    </row>
    <row r="46" spans="1:7" x14ac:dyDescent="0.2">
      <c r="A46" s="91"/>
      <c r="B46" s="90"/>
      <c r="C46" s="94"/>
      <c r="D46" s="90"/>
      <c r="E46" s="91"/>
      <c r="F46" s="90"/>
      <c r="G46" s="91"/>
    </row>
    <row r="47" spans="1:7" x14ac:dyDescent="0.2">
      <c r="A47" s="91"/>
      <c r="B47" s="90"/>
      <c r="C47" s="94"/>
      <c r="D47" s="90"/>
      <c r="E47" s="91"/>
      <c r="F47" s="90"/>
      <c r="G47" s="91"/>
    </row>
    <row r="48" spans="1:7" x14ac:dyDescent="0.2">
      <c r="A48" s="91"/>
      <c r="B48" s="90"/>
      <c r="C48" s="94"/>
      <c r="D48" s="90"/>
      <c r="E48" s="91"/>
      <c r="F48" s="90"/>
      <c r="G48" s="91"/>
    </row>
    <row r="49" spans="1:7" x14ac:dyDescent="0.2">
      <c r="A49" s="91"/>
      <c r="B49" s="90"/>
      <c r="C49" s="94"/>
      <c r="D49" s="90"/>
      <c r="E49" s="91"/>
      <c r="F49" s="90"/>
      <c r="G49" s="91"/>
    </row>
    <row r="50" spans="1:7" x14ac:dyDescent="0.2">
      <c r="A50" s="91"/>
      <c r="B50" s="90"/>
      <c r="C50" s="94"/>
      <c r="D50" s="90"/>
      <c r="E50" s="91"/>
      <c r="F50" s="90"/>
      <c r="G50" s="91"/>
    </row>
    <row r="51" spans="1:7" x14ac:dyDescent="0.2">
      <c r="A51" s="91"/>
      <c r="B51" s="90"/>
      <c r="C51" s="94"/>
      <c r="D51" s="90"/>
      <c r="E51" s="91"/>
      <c r="F51" s="90"/>
      <c r="G51" s="91"/>
    </row>
    <row r="52" spans="1:7" x14ac:dyDescent="0.2">
      <c r="A52" s="91"/>
      <c r="B52" s="90"/>
      <c r="C52" s="94"/>
      <c r="D52" s="90"/>
      <c r="E52" s="91"/>
      <c r="F52" s="90"/>
      <c r="G52" s="91"/>
    </row>
    <row r="53" spans="1:7" x14ac:dyDescent="0.2">
      <c r="A53" s="91"/>
      <c r="B53" s="90"/>
      <c r="C53" s="94"/>
      <c r="D53" s="90"/>
      <c r="E53" s="91"/>
      <c r="F53" s="90"/>
      <c r="G53" s="91"/>
    </row>
    <row r="54" spans="1:7" x14ac:dyDescent="0.2">
      <c r="A54" s="91"/>
      <c r="B54" s="90"/>
      <c r="C54" s="94"/>
      <c r="D54" s="90"/>
      <c r="E54" s="91"/>
      <c r="F54" s="90"/>
      <c r="G54" s="91"/>
    </row>
    <row r="55" spans="1:7" x14ac:dyDescent="0.2">
      <c r="A55" s="91"/>
      <c r="B55" s="90"/>
      <c r="C55" s="94"/>
      <c r="D55" s="90"/>
      <c r="E55" s="91"/>
      <c r="F55" s="90"/>
      <c r="G55" s="91"/>
    </row>
    <row r="56" spans="1:7" x14ac:dyDescent="0.2">
      <c r="A56" s="91"/>
      <c r="B56" s="90"/>
      <c r="C56" s="94"/>
      <c r="D56" s="90"/>
      <c r="E56" s="91"/>
      <c r="F56" s="90"/>
      <c r="G56" s="91"/>
    </row>
    <row r="57" spans="1:7" x14ac:dyDescent="0.2">
      <c r="A57" s="91"/>
      <c r="B57" s="90"/>
      <c r="C57" s="94"/>
      <c r="D57" s="90"/>
      <c r="E57" s="91"/>
      <c r="F57" s="90"/>
      <c r="G57" s="91"/>
    </row>
    <row r="58" spans="1:7" x14ac:dyDescent="0.2">
      <c r="A58" s="91"/>
      <c r="B58" s="90"/>
      <c r="C58" s="94"/>
      <c r="D58" s="90"/>
      <c r="E58" s="91"/>
      <c r="F58" s="90"/>
      <c r="G58" s="91"/>
    </row>
    <row r="59" spans="1:7" x14ac:dyDescent="0.2">
      <c r="A59" s="91"/>
      <c r="B59" s="90"/>
      <c r="C59" s="94"/>
      <c r="D59" s="90"/>
      <c r="E59" s="91"/>
      <c r="F59" s="90"/>
      <c r="G59" s="91"/>
    </row>
    <row r="60" spans="1:7" x14ac:dyDescent="0.2">
      <c r="A60" s="91"/>
      <c r="B60" s="90"/>
      <c r="C60" s="94"/>
      <c r="D60" s="90"/>
      <c r="E60" s="91"/>
      <c r="F60" s="90"/>
      <c r="G60" s="91"/>
    </row>
    <row r="61" spans="1:7" x14ac:dyDescent="0.2">
      <c r="A61" s="91"/>
      <c r="B61" s="90"/>
      <c r="C61" s="94"/>
      <c r="D61" s="90"/>
      <c r="E61" s="91"/>
      <c r="F61" s="90"/>
      <c r="G61" s="91"/>
    </row>
    <row r="62" spans="1:7" x14ac:dyDescent="0.2">
      <c r="A62" s="91"/>
      <c r="B62" s="90"/>
      <c r="C62" s="94"/>
      <c r="D62" s="90"/>
      <c r="E62" s="91"/>
      <c r="F62" s="90"/>
      <c r="G62" s="91"/>
    </row>
    <row r="63" spans="1:7" x14ac:dyDescent="0.2">
      <c r="A63" s="91"/>
      <c r="B63" s="90"/>
      <c r="C63" s="94"/>
      <c r="D63" s="90"/>
      <c r="E63" s="91"/>
      <c r="F63" s="90"/>
      <c r="G63" s="91"/>
    </row>
    <row r="64" spans="1:7" x14ac:dyDescent="0.2">
      <c r="A64" s="91"/>
      <c r="B64" s="90"/>
      <c r="C64" s="94"/>
      <c r="D64" s="90"/>
      <c r="E64" s="91"/>
      <c r="F64" s="90"/>
      <c r="G64" s="91"/>
    </row>
    <row r="65" spans="1:7" x14ac:dyDescent="0.2">
      <c r="A65" s="91"/>
      <c r="B65" s="90"/>
      <c r="C65" s="94"/>
      <c r="D65" s="90"/>
      <c r="E65" s="90"/>
      <c r="F65" s="90"/>
      <c r="G65" s="91"/>
    </row>
    <row r="66" spans="1:7" x14ac:dyDescent="0.2">
      <c r="A66" s="91"/>
      <c r="B66" s="90"/>
      <c r="C66" s="94"/>
      <c r="D66" s="90"/>
      <c r="E66" s="90"/>
      <c r="F66" s="90"/>
      <c r="G66" s="91"/>
    </row>
    <row r="67" spans="1:7" x14ac:dyDescent="0.2">
      <c r="A67" s="91"/>
      <c r="B67" s="90"/>
      <c r="C67" s="94"/>
      <c r="D67" s="90"/>
      <c r="E67" s="90"/>
      <c r="F67" s="90"/>
      <c r="G67" s="91"/>
    </row>
    <row r="68" spans="1:7" x14ac:dyDescent="0.2">
      <c r="A68" s="91"/>
      <c r="B68" s="90"/>
      <c r="C68" s="94"/>
      <c r="D68" s="90"/>
      <c r="E68" s="90"/>
      <c r="F68" s="90"/>
      <c r="G68" s="91"/>
    </row>
    <row r="69" spans="1:7" x14ac:dyDescent="0.2">
      <c r="A69" s="90"/>
      <c r="B69" s="90"/>
      <c r="C69" s="90"/>
      <c r="D69" s="90"/>
      <c r="E69" s="90"/>
      <c r="F69" s="90"/>
      <c r="G69" s="91"/>
    </row>
    <row r="70" spans="1:7" x14ac:dyDescent="0.2">
      <c r="A70" s="90"/>
      <c r="B70" s="90"/>
      <c r="C70" s="90"/>
      <c r="D70" s="90"/>
      <c r="E70" s="90"/>
      <c r="F70" s="90"/>
      <c r="G70" s="91"/>
    </row>
    <row r="71" spans="1:7" x14ac:dyDescent="0.2">
      <c r="A71" s="90"/>
      <c r="B71" s="90"/>
      <c r="C71" s="90"/>
      <c r="D71" s="90"/>
      <c r="E71" s="90"/>
      <c r="F71" s="90"/>
      <c r="G71" s="91"/>
    </row>
    <row r="72" spans="1:7" x14ac:dyDescent="0.2">
      <c r="A72" s="90"/>
      <c r="B72" s="90"/>
      <c r="C72" s="90"/>
      <c r="D72" s="90"/>
      <c r="E72" s="90"/>
      <c r="F72" s="90"/>
      <c r="G72" s="91"/>
    </row>
    <row r="73" spans="1:7" x14ac:dyDescent="0.2">
      <c r="A73" s="90"/>
      <c r="B73" s="90"/>
      <c r="C73" s="90"/>
      <c r="D73" s="90"/>
      <c r="E73" s="90"/>
      <c r="F73" s="90"/>
      <c r="G73" s="91"/>
    </row>
  </sheetData>
  <autoFilter ref="A3:N32" xr:uid="{AC5D6AEC-EF60-46B0-AD92-7B65B28079F3}"/>
  <mergeCells count="1">
    <mergeCell ref="A1:N1"/>
  </mergeCells>
  <conditionalFormatting sqref="A33:A39 A41:A518">
    <cfRule type="expression" dxfId="18" priority="2">
      <formula>$A33="Receipt"</formula>
    </cfRule>
    <cfRule type="expression" dxfId="17" priority="3">
      <formula>$A33="Issue"</formula>
    </cfRule>
  </conditionalFormatting>
  <conditionalFormatting sqref="B4:B32">
    <cfRule type="expression" dxfId="16" priority="5">
      <formula>$B4="Goods Receipt"</formula>
    </cfRule>
    <cfRule type="expression" dxfId="15" priority="6">
      <formula>$B4="Goods Issue"</formula>
    </cfRule>
  </conditionalFormatting>
  <conditionalFormatting sqref="L4:L32">
    <cfRule type="expression" dxfId="14" priority="1">
      <formula>$L4&lt;0</formula>
    </cfRule>
  </conditionalFormatting>
  <conditionalFormatting sqref="L33:L518">
    <cfRule type="expression" dxfId="13" priority="4">
      <formula>$L33&lt;0</formula>
    </cfRule>
  </conditionalFormatting>
  <conditionalFormatting sqref="M4:M32">
    <cfRule type="expression" dxfId="12" priority="7">
      <formula>$M4&lt;0</formula>
    </cfRule>
  </conditionalFormatting>
  <dataValidations count="1">
    <dataValidation type="list" showInputMessage="1" showErrorMessage="1" errorTitle="Invalid entry" error="Please select a value from the list." promptTitle="Transaction Type" prompt="Select whether this is a stock-in (Receipt) or stock-out (Issue) transaction." sqref="A33:A518" xr:uid="{A3A90B5B-96B1-4640-B5DC-3AEF29CAD5A0}">
      <formula1>"Receipt,Issue"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21"/>
  <sheetViews>
    <sheetView showGridLines="0" zoomScaleNormal="100" workbookViewId="0">
      <pane ySplit="3" topLeftCell="A4" activePane="bottomLeft" state="frozen"/>
      <selection pane="bottomLeft" activeCell="B2" sqref="B2"/>
    </sheetView>
  </sheetViews>
  <sheetFormatPr defaultColWidth="8.7109375" defaultRowHeight="15" x14ac:dyDescent="0.25"/>
  <cols>
    <col min="1" max="1" width="16" customWidth="1"/>
    <col min="2" max="2" width="10" customWidth="1"/>
    <col min="3" max="4" width="12" customWidth="1"/>
    <col min="5" max="5" width="30" customWidth="1"/>
    <col min="6" max="6" width="16" customWidth="1"/>
    <col min="7" max="7" width="14" customWidth="1"/>
    <col min="8" max="9" width="12" customWidth="1"/>
    <col min="10" max="10" width="10" customWidth="1"/>
    <col min="11" max="11" width="12" customWidth="1"/>
    <col min="12" max="12" width="14" customWidth="1"/>
    <col min="13" max="13" width="15" customWidth="1"/>
    <col min="14" max="15" width="12" customWidth="1"/>
    <col min="16" max="16" width="18" customWidth="1"/>
    <col min="17" max="17" width="20" customWidth="1"/>
    <col min="18" max="18" width="22.28515625" customWidth="1"/>
    <col min="19" max="19" width="40" customWidth="1"/>
    <col min="20" max="20" width="16.7109375" bestFit="1" customWidth="1"/>
  </cols>
  <sheetData>
    <row r="1" spans="1:20" ht="24" customHeight="1" x14ac:dyDescent="0.25">
      <c r="A1" s="109" t="s">
        <v>212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</row>
    <row r="3" spans="1:20" ht="31.5" customHeight="1" x14ac:dyDescent="0.25">
      <c r="A3" s="1" t="s">
        <v>213</v>
      </c>
      <c r="B3" s="1" t="s">
        <v>214</v>
      </c>
      <c r="C3" s="1" t="s">
        <v>215</v>
      </c>
      <c r="D3" s="1" t="s">
        <v>1</v>
      </c>
      <c r="E3" s="1" t="s">
        <v>2</v>
      </c>
      <c r="F3" s="1" t="s">
        <v>477</v>
      </c>
      <c r="G3" s="1" t="s">
        <v>473</v>
      </c>
      <c r="H3" s="1" t="s">
        <v>472</v>
      </c>
      <c r="I3" s="1" t="s">
        <v>216</v>
      </c>
      <c r="J3" s="1" t="s">
        <v>217</v>
      </c>
      <c r="K3" s="1" t="s">
        <v>218</v>
      </c>
      <c r="L3" s="1" t="s">
        <v>210</v>
      </c>
      <c r="M3" s="1" t="s">
        <v>219</v>
      </c>
      <c r="N3" s="1" t="s">
        <v>220</v>
      </c>
      <c r="O3" s="1" t="s">
        <v>474</v>
      </c>
      <c r="P3" s="1" t="s">
        <v>475</v>
      </c>
      <c r="Q3" s="1" t="s">
        <v>221</v>
      </c>
      <c r="R3" s="1" t="s">
        <v>222</v>
      </c>
      <c r="S3" s="1" t="s">
        <v>124</v>
      </c>
      <c r="T3" s="1" t="s">
        <v>476</v>
      </c>
    </row>
    <row r="4" spans="1:20" x14ac:dyDescent="0.25">
      <c r="A4" s="6" t="s">
        <v>223</v>
      </c>
      <c r="B4" s="7">
        <v>10</v>
      </c>
      <c r="C4" s="8">
        <v>46290</v>
      </c>
      <c r="D4" s="6" t="s">
        <v>27</v>
      </c>
      <c r="E4" s="9" t="str">
        <f>_xlfn.XLOOKUP(tbl_CycleCount[[#This Row],[Material Code]],tbl_MasterMaterial[Material Code],tbl_MasterMaterial[Material Description])</f>
        <v>Hex Bolt M12x50 Grade 8.8</v>
      </c>
      <c r="F4" s="10" t="str">
        <f>_xlfn.XLOOKUP(tbl_CycleCount[[#This Row],[Material Code]],tbl_MasterMaterial[Material Code],tbl_MasterMaterial[ABC Classification])</f>
        <v>B</v>
      </c>
      <c r="G4" s="6" t="s">
        <v>240</v>
      </c>
      <c r="H4" s="12">
        <f>_xlfn.XLOOKUP(tbl_CycleCount[[#This Row],[Material Code]],'10_Stock_Card'!F4:F32,'10_Stock_Card'!M4:M32,"",,-1)</f>
        <v>1500</v>
      </c>
      <c r="I4" s="11">
        <v>1498</v>
      </c>
      <c r="J4" s="101">
        <f>tbl_CycleCount[[#This Row],[Physical Count]]-tbl_CycleCount[[#This Row],[System Qty (Ref)]]</f>
        <v>-2</v>
      </c>
      <c r="K4" s="13">
        <f>IFERROR(tbl_CycleCount[[#This Row],[Variance (Qty)]]/tbl_CycleCount[[#This Row],[System Qty (Ref)]],0)</f>
        <v>-1.3333333333333333E-3</v>
      </c>
      <c r="L4" s="106">
        <f>_xlfn.XLOOKUP(tbl_CycleCount[[#This Row],[Material Code]],tbl_MasterMaterial[Material Code],tbl_MasterMaterial[Standard Cost (per Base UoM)])</f>
        <v>8000</v>
      </c>
      <c r="M4" s="107">
        <f>tbl_CycleCount[[#This Row],[Variance (Qty)]]*tbl_CycleCount[[#This Row],[Unit Cost (Ref)]]</f>
        <v>-16000</v>
      </c>
      <c r="N4" s="16" t="str">
        <f>IF(J4=0,"Match",IF(J4&gt;0,"Overage","Shortage"))</f>
        <v>Shortage</v>
      </c>
      <c r="O4" s="14" t="s">
        <v>318</v>
      </c>
      <c r="P4" s="14" t="s">
        <v>484</v>
      </c>
      <c r="Q4" s="6" t="s">
        <v>226</v>
      </c>
      <c r="R4" s="14" t="s">
        <v>227</v>
      </c>
      <c r="S4" s="6" t="s">
        <v>479</v>
      </c>
      <c r="T4" s="14" t="str">
        <f>tbl_CycleCount[[#This Row],[Count Number]]&amp;"-"&amp;tbl_CycleCount[[#This Row],[Count Line]]</f>
        <v>CC-2026-0001-10</v>
      </c>
    </row>
    <row r="5" spans="1:20" x14ac:dyDescent="0.25">
      <c r="A5" s="6" t="s">
        <v>223</v>
      </c>
      <c r="B5" s="7">
        <v>20</v>
      </c>
      <c r="C5" s="8">
        <v>46290</v>
      </c>
      <c r="D5" s="6" t="s">
        <v>52</v>
      </c>
      <c r="E5" s="9" t="str">
        <f>_xlfn.XLOOKUP(tbl_CycleCount[[#This Row],[Material Code]],tbl_MasterMaterial[Material Code],tbl_MasterMaterial[Material Description])</f>
        <v>Flat Washer M12 Zinc Plated</v>
      </c>
      <c r="F5" s="53" t="str">
        <f>_xlfn.XLOOKUP(tbl_CycleCount[[#This Row],[Material Code]],tbl_MasterMaterial[Material Code],tbl_MasterMaterial[ABC Classification])</f>
        <v>C</v>
      </c>
      <c r="G5" s="6" t="s">
        <v>248</v>
      </c>
      <c r="H5" s="12">
        <f>_xlfn.XLOOKUP(tbl_CycleCount[[#This Row],[Material Code]],'10_Stock_Card'!F5:F33,'10_Stock_Card'!M5:M33,"",,-1)</f>
        <v>3005</v>
      </c>
      <c r="I5" s="11">
        <v>3005</v>
      </c>
      <c r="J5" s="101">
        <f>tbl_CycleCount[[#This Row],[Physical Count]]-tbl_CycleCount[[#This Row],[System Qty (Ref)]]</f>
        <v>0</v>
      </c>
      <c r="K5" s="13">
        <f>IFERROR(tbl_CycleCount[[#This Row],[Variance (Qty)]]/tbl_CycleCount[[#This Row],[System Qty (Ref)]],0)</f>
        <v>0</v>
      </c>
      <c r="L5" s="106">
        <f>_xlfn.XLOOKUP(tbl_CycleCount[[#This Row],[Material Code]],tbl_MasterMaterial[Material Code],tbl_MasterMaterial[Standard Cost (per Base UoM)])</f>
        <v>2000</v>
      </c>
      <c r="M5" s="107">
        <f>tbl_CycleCount[[#This Row],[Variance (Qty)]]*tbl_CycleCount[[#This Row],[Unit Cost (Ref)]]</f>
        <v>0</v>
      </c>
      <c r="N5" s="16" t="str">
        <f t="shared" ref="N5:N11" si="0">IF(J5=0,"Match",IF(J5&gt;0,"Overage","Shortage"))</f>
        <v>Match</v>
      </c>
      <c r="O5" s="14" t="s">
        <v>435</v>
      </c>
      <c r="P5" s="14" t="s">
        <v>484</v>
      </c>
      <c r="Q5" s="6" t="s">
        <v>141</v>
      </c>
      <c r="R5" s="14" t="s">
        <v>224</v>
      </c>
      <c r="S5" s="6"/>
      <c r="T5" s="14" t="str">
        <f>tbl_CycleCount[[#This Row],[Count Number]]&amp;"-"&amp;tbl_CycleCount[[#This Row],[Count Line]]</f>
        <v>CC-2026-0001-20</v>
      </c>
    </row>
    <row r="6" spans="1:20" x14ac:dyDescent="0.25">
      <c r="A6" s="6" t="s">
        <v>223</v>
      </c>
      <c r="B6" s="7">
        <v>30</v>
      </c>
      <c r="C6" s="8">
        <v>46290</v>
      </c>
      <c r="D6" s="6" t="s">
        <v>14</v>
      </c>
      <c r="E6" s="9" t="str">
        <f>_xlfn.XLOOKUP(tbl_CycleCount[[#This Row],[Material Code]],tbl_MasterMaterial[Material Code],tbl_MasterMaterial[Material Description])</f>
        <v>Hydraulic Cylinder Seal Kit 80mm</v>
      </c>
      <c r="F6" s="10" t="str">
        <f>_xlfn.XLOOKUP(tbl_CycleCount[[#This Row],[Material Code]],tbl_MasterMaterial[Material Code],tbl_MasterMaterial[ABC Classification])</f>
        <v>C</v>
      </c>
      <c r="G6" s="6" t="s">
        <v>238</v>
      </c>
      <c r="H6" s="12">
        <f>_xlfn.XLOOKUP(tbl_CycleCount[[#This Row],[Material Code]],'10_Stock_Card'!F6:F34,'10_Stock_Card'!M6:M34,"",,-1)</f>
        <v>76</v>
      </c>
      <c r="I6" s="11">
        <v>76</v>
      </c>
      <c r="J6" s="101">
        <f>tbl_CycleCount[[#This Row],[Physical Count]]-tbl_CycleCount[[#This Row],[System Qty (Ref)]]</f>
        <v>0</v>
      </c>
      <c r="K6" s="13">
        <f>IFERROR(tbl_CycleCount[[#This Row],[Variance (Qty)]]/tbl_CycleCount[[#This Row],[System Qty (Ref)]],0)</f>
        <v>0</v>
      </c>
      <c r="L6" s="106">
        <f>_xlfn.XLOOKUP(tbl_CycleCount[[#This Row],[Material Code]],tbl_MasterMaterial[Material Code],tbl_MasterMaterial[Standard Cost (per Base UoM)])</f>
        <v>750000</v>
      </c>
      <c r="M6" s="107">
        <f>tbl_CycleCount[[#This Row],[Variance (Qty)]]*tbl_CycleCount[[#This Row],[Unit Cost (Ref)]]</f>
        <v>0</v>
      </c>
      <c r="N6" s="16" t="str">
        <f t="shared" si="0"/>
        <v>Match</v>
      </c>
      <c r="O6" s="14" t="s">
        <v>317</v>
      </c>
      <c r="P6" s="14" t="s">
        <v>484</v>
      </c>
      <c r="Q6" s="6" t="s">
        <v>141</v>
      </c>
      <c r="R6" s="14" t="s">
        <v>224</v>
      </c>
      <c r="S6" s="6"/>
      <c r="T6" s="14" t="str">
        <f>tbl_CycleCount[[#This Row],[Count Number]]&amp;"-"&amp;tbl_CycleCount[[#This Row],[Count Line]]</f>
        <v>CC-2026-0001-30</v>
      </c>
    </row>
    <row r="7" spans="1:20" x14ac:dyDescent="0.25">
      <c r="A7" s="6" t="s">
        <v>225</v>
      </c>
      <c r="B7" s="7">
        <v>10</v>
      </c>
      <c r="C7" s="8">
        <v>46291</v>
      </c>
      <c r="D7" s="6" t="s">
        <v>37</v>
      </c>
      <c r="E7" s="9" t="str">
        <f>_xlfn.XLOOKUP(tbl_CycleCount[[#This Row],[Material Code]],tbl_MasterMaterial[Material Code],tbl_MasterMaterial[Material Description])</f>
        <v>Air Filter Element - Primary</v>
      </c>
      <c r="F7" s="10" t="str">
        <f>_xlfn.XLOOKUP(tbl_CycleCount[[#This Row],[Material Code]],tbl_MasterMaterial[Material Code],tbl_MasterMaterial[ABC Classification])</f>
        <v>C</v>
      </c>
      <c r="G7" s="6" t="s">
        <v>243</v>
      </c>
      <c r="H7" s="12">
        <f>_xlfn.XLOOKUP(tbl_CycleCount[[#This Row],[Material Code]],'10_Stock_Card'!F7:F35,'10_Stock_Card'!M7:M35,"",,-1)</f>
        <v>52</v>
      </c>
      <c r="I7" s="11">
        <v>51</v>
      </c>
      <c r="J7" s="101">
        <f>tbl_CycleCount[[#This Row],[Physical Count]]-tbl_CycleCount[[#This Row],[System Qty (Ref)]]</f>
        <v>-1</v>
      </c>
      <c r="K7" s="13">
        <f>IFERROR(tbl_CycleCount[[#This Row],[Variance (Qty)]]/tbl_CycleCount[[#This Row],[System Qty (Ref)]],0)</f>
        <v>-1.9230769230769232E-2</v>
      </c>
      <c r="L7" s="106">
        <f>_xlfn.XLOOKUP(tbl_CycleCount[[#This Row],[Material Code]],tbl_MasterMaterial[Material Code],tbl_MasterMaterial[Standard Cost (per Base UoM)])</f>
        <v>420000</v>
      </c>
      <c r="M7" s="107">
        <f>tbl_CycleCount[[#This Row],[Variance (Qty)]]*tbl_CycleCount[[#This Row],[Unit Cost (Ref)]]</f>
        <v>-420000</v>
      </c>
      <c r="N7" s="16" t="str">
        <f t="shared" si="0"/>
        <v>Shortage</v>
      </c>
      <c r="O7" s="14" t="s">
        <v>320</v>
      </c>
      <c r="P7" s="14" t="s">
        <v>322</v>
      </c>
      <c r="Q7" s="6" t="s">
        <v>226</v>
      </c>
      <c r="R7" s="14" t="s">
        <v>227</v>
      </c>
      <c r="S7" s="6" t="s">
        <v>481</v>
      </c>
      <c r="T7" s="14" t="str">
        <f>tbl_CycleCount[[#This Row],[Count Number]]&amp;"-"&amp;tbl_CycleCount[[#This Row],[Count Line]]</f>
        <v>CC-2026-0002-10</v>
      </c>
    </row>
    <row r="8" spans="1:20" x14ac:dyDescent="0.25">
      <c r="A8" s="6" t="s">
        <v>225</v>
      </c>
      <c r="B8" s="7">
        <v>20</v>
      </c>
      <c r="C8" s="8">
        <v>46291</v>
      </c>
      <c r="D8" s="6" t="s">
        <v>43</v>
      </c>
      <c r="E8" s="9" t="str">
        <f>_xlfn.XLOOKUP(tbl_CycleCount[[#This Row],[Material Code]],tbl_MasterMaterial[Material Code],tbl_MasterMaterial[Material Description])</f>
        <v>Welding Electrode E7018 3.2mm</v>
      </c>
      <c r="F8" s="10" t="str">
        <f>_xlfn.XLOOKUP(tbl_CycleCount[[#This Row],[Material Code]],tbl_MasterMaterial[Material Code],tbl_MasterMaterial[ABC Classification])</f>
        <v>C</v>
      </c>
      <c r="G8" s="6" t="s">
        <v>289</v>
      </c>
      <c r="H8" s="12">
        <f>_xlfn.XLOOKUP(tbl_CycleCount[[#This Row],[Material Code]],'10_Stock_Card'!F8:F36,'10_Stock_Card'!M8:M36,"",,-1)</f>
        <v>284</v>
      </c>
      <c r="I8" s="11">
        <v>284</v>
      </c>
      <c r="J8" s="101">
        <f>tbl_CycleCount[[#This Row],[Physical Count]]-tbl_CycleCount[[#This Row],[System Qty (Ref)]]</f>
        <v>0</v>
      </c>
      <c r="K8" s="13">
        <f>IFERROR(tbl_CycleCount[[#This Row],[Variance (Qty)]]/tbl_CycleCount[[#This Row],[System Qty (Ref)]],0)</f>
        <v>0</v>
      </c>
      <c r="L8" s="106">
        <f>_xlfn.XLOOKUP(tbl_CycleCount[[#This Row],[Material Code]],tbl_MasterMaterial[Material Code],tbl_MasterMaterial[Standard Cost (per Base UoM)])</f>
        <v>380000</v>
      </c>
      <c r="M8" s="107">
        <f>tbl_CycleCount[[#This Row],[Variance (Qty)]]*tbl_CycleCount[[#This Row],[Unit Cost (Ref)]]</f>
        <v>0</v>
      </c>
      <c r="N8" s="16" t="str">
        <f t="shared" si="0"/>
        <v>Match</v>
      </c>
      <c r="O8" s="14" t="s">
        <v>320</v>
      </c>
      <c r="P8" s="14" t="s">
        <v>322</v>
      </c>
      <c r="Q8" s="6" t="s">
        <v>141</v>
      </c>
      <c r="R8" s="14" t="s">
        <v>224</v>
      </c>
      <c r="S8" s="6"/>
      <c r="T8" s="14" t="str">
        <f>tbl_CycleCount[[#This Row],[Count Number]]&amp;"-"&amp;tbl_CycleCount[[#This Row],[Count Line]]</f>
        <v>CC-2026-0002-20</v>
      </c>
    </row>
    <row r="9" spans="1:20" x14ac:dyDescent="0.25">
      <c r="A9" s="6" t="s">
        <v>225</v>
      </c>
      <c r="B9" s="7">
        <v>30</v>
      </c>
      <c r="C9" s="8">
        <v>46291</v>
      </c>
      <c r="D9" s="6" t="s">
        <v>48</v>
      </c>
      <c r="E9" s="9" t="str">
        <f>_xlfn.XLOOKUP(tbl_CycleCount[[#This Row],[Material Code]],tbl_MasterMaterial[Material Code],tbl_MasterMaterial[Material Description])</f>
        <v>Bucket Teeth (CAT style)</v>
      </c>
      <c r="F9" s="10" t="str">
        <f>_xlfn.XLOOKUP(tbl_CycleCount[[#This Row],[Material Code]],tbl_MasterMaterial[Material Code],tbl_MasterMaterial[ABC Classification])</f>
        <v>B</v>
      </c>
      <c r="G9" s="6" t="s">
        <v>247</v>
      </c>
      <c r="H9" s="12">
        <f>_xlfn.XLOOKUP(tbl_CycleCount[[#This Row],[Material Code]],'10_Stock_Card'!F9:F37,'10_Stock_Card'!M9:M37,"",,-1)</f>
        <v>38</v>
      </c>
      <c r="I9" s="11">
        <v>38</v>
      </c>
      <c r="J9" s="101">
        <f>tbl_CycleCount[[#This Row],[Physical Count]]-tbl_CycleCount[[#This Row],[System Qty (Ref)]]</f>
        <v>0</v>
      </c>
      <c r="K9" s="13">
        <f>IFERROR(tbl_CycleCount[[#This Row],[Variance (Qty)]]/tbl_CycleCount[[#This Row],[System Qty (Ref)]],0)</f>
        <v>0</v>
      </c>
      <c r="L9" s="106">
        <f>_xlfn.XLOOKUP(tbl_CycleCount[[#This Row],[Material Code]],tbl_MasterMaterial[Material Code],tbl_MasterMaterial[Standard Cost (per Base UoM)])</f>
        <v>620000</v>
      </c>
      <c r="M9" s="107">
        <f>tbl_CycleCount[[#This Row],[Variance (Qty)]]*tbl_CycleCount[[#This Row],[Unit Cost (Ref)]]</f>
        <v>0</v>
      </c>
      <c r="N9" s="16" t="str">
        <f t="shared" si="0"/>
        <v>Match</v>
      </c>
      <c r="O9" s="14" t="s">
        <v>435</v>
      </c>
      <c r="P9" s="14" t="s">
        <v>322</v>
      </c>
      <c r="Q9" s="6" t="s">
        <v>141</v>
      </c>
      <c r="R9" s="14" t="s">
        <v>224</v>
      </c>
      <c r="S9" s="6"/>
      <c r="T9" s="14" t="str">
        <f>tbl_CycleCount[[#This Row],[Count Number]]&amp;"-"&amp;tbl_CycleCount[[#This Row],[Count Line]]</f>
        <v>CC-2026-0002-30</v>
      </c>
    </row>
    <row r="10" spans="1:20" x14ac:dyDescent="0.25">
      <c r="A10" s="6" t="s">
        <v>230</v>
      </c>
      <c r="B10" s="7">
        <v>10</v>
      </c>
      <c r="C10" s="8">
        <v>46292</v>
      </c>
      <c r="D10" s="6" t="s">
        <v>54</v>
      </c>
      <c r="E10" s="9" t="str">
        <f>_xlfn.XLOOKUP(tbl_CycleCount[[#This Row],[Material Code]],tbl_MasterMaterial[Material Code],tbl_MasterMaterial[Material Description])</f>
        <v>Turbocharger Assembly (Cat C15)</v>
      </c>
      <c r="F10" s="10" t="str">
        <f>_xlfn.XLOOKUP(tbl_CycleCount[[#This Row],[Material Code]],tbl_MasterMaterial[Material Code],tbl_MasterMaterial[ABC Classification])</f>
        <v>A</v>
      </c>
      <c r="G10" s="6" t="s">
        <v>387</v>
      </c>
      <c r="H10" s="12">
        <f>_xlfn.XLOOKUP(tbl_CycleCount[[#This Row],[Material Code]],'10_Stock_Card'!F10:F38,'10_Stock_Card'!M10:M38,"",,-1)</f>
        <v>27</v>
      </c>
      <c r="I10" s="11">
        <v>27</v>
      </c>
      <c r="J10" s="101">
        <f>tbl_CycleCount[[#This Row],[Physical Count]]-tbl_CycleCount[[#This Row],[System Qty (Ref)]]</f>
        <v>0</v>
      </c>
      <c r="K10" s="13">
        <f>IFERROR(tbl_CycleCount[[#This Row],[Variance (Qty)]]/tbl_CycleCount[[#This Row],[System Qty (Ref)]],0)</f>
        <v>0</v>
      </c>
      <c r="L10" s="106">
        <f>_xlfn.XLOOKUP(tbl_CycleCount[[#This Row],[Material Code]],tbl_MasterMaterial[Material Code],tbl_MasterMaterial[Standard Cost (per Base UoM)])</f>
        <v>15500000</v>
      </c>
      <c r="M10" s="107">
        <f>tbl_CycleCount[[#This Row],[Variance (Qty)]]*tbl_CycleCount[[#This Row],[Unit Cost (Ref)]]</f>
        <v>0</v>
      </c>
      <c r="N10" s="16" t="str">
        <f t="shared" si="0"/>
        <v>Match</v>
      </c>
      <c r="O10" s="14" t="s">
        <v>318</v>
      </c>
      <c r="P10" s="14" t="s">
        <v>484</v>
      </c>
      <c r="Q10" s="6" t="s">
        <v>141</v>
      </c>
      <c r="R10" s="14" t="s">
        <v>224</v>
      </c>
      <c r="S10" s="6"/>
      <c r="T10" s="14" t="str">
        <f>tbl_CycleCount[[#This Row],[Count Number]]&amp;"-"&amp;tbl_CycleCount[[#This Row],[Count Line]]</f>
        <v>CC-2026-0003-10</v>
      </c>
    </row>
    <row r="11" spans="1:20" x14ac:dyDescent="0.25">
      <c r="A11" s="6" t="s">
        <v>482</v>
      </c>
      <c r="B11" s="7">
        <v>20</v>
      </c>
      <c r="C11" s="8">
        <v>46292</v>
      </c>
      <c r="D11" s="6" t="s">
        <v>50</v>
      </c>
      <c r="E11" s="9" t="str">
        <f>_xlfn.XLOOKUP(tbl_CycleCount[[#This Row],[Material Code]],tbl_MasterMaterial[Material Code],tbl_MasterMaterial[Material Description])</f>
        <v>Radiator Coolant 20L</v>
      </c>
      <c r="F11" s="10" t="str">
        <f>_xlfn.XLOOKUP(tbl_CycleCount[[#This Row],[Material Code]],tbl_MasterMaterial[Material Code],tbl_MasterMaterial[ABC Classification])</f>
        <v>B</v>
      </c>
      <c r="G11" s="6" t="s">
        <v>245</v>
      </c>
      <c r="H11" s="12">
        <f>_xlfn.XLOOKUP(tbl_CycleCount[[#This Row],[Material Code]],'10_Stock_Card'!F11:F39,'10_Stock_Card'!M11:M39,"",,-1)</f>
        <v>105</v>
      </c>
      <c r="I11" s="11">
        <v>103</v>
      </c>
      <c r="J11" s="101">
        <f>tbl_CycleCount[[#This Row],[Physical Count]]-tbl_CycleCount[[#This Row],[System Qty (Ref)]]</f>
        <v>-2</v>
      </c>
      <c r="K11" s="13">
        <f>IFERROR(tbl_CycleCount[[#This Row],[Variance (Qty)]]/tbl_CycleCount[[#This Row],[System Qty (Ref)]],0)</f>
        <v>-1.9047619047619049E-2</v>
      </c>
      <c r="L11" s="106">
        <f>_xlfn.XLOOKUP(tbl_CycleCount[[#This Row],[Material Code]],tbl_MasterMaterial[Material Code],tbl_MasterMaterial[Standard Cost (per Base UoM)])</f>
        <v>780000</v>
      </c>
      <c r="M11" s="107">
        <f>tbl_CycleCount[[#This Row],[Variance (Qty)]]*tbl_CycleCount[[#This Row],[Unit Cost (Ref)]]</f>
        <v>-1560000</v>
      </c>
      <c r="N11" s="16" t="str">
        <f t="shared" si="0"/>
        <v>Shortage</v>
      </c>
      <c r="O11" s="14" t="s">
        <v>317</v>
      </c>
      <c r="P11" s="14" t="s">
        <v>484</v>
      </c>
      <c r="Q11" s="6" t="s">
        <v>228</v>
      </c>
      <c r="R11" s="14" t="s">
        <v>229</v>
      </c>
      <c r="S11" s="6" t="s">
        <v>483</v>
      </c>
      <c r="T11" s="14" t="str">
        <f>tbl_CycleCount[[#This Row],[Count Number]]&amp;"-"&amp;tbl_CycleCount[[#This Row],[Count Line]]</f>
        <v>CC-2026-0006-20</v>
      </c>
    </row>
    <row r="15" spans="1:20" x14ac:dyDescent="0.25">
      <c r="A15" s="4" t="s">
        <v>67</v>
      </c>
    </row>
    <row r="16" spans="1:20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</sheetData>
  <mergeCells count="1">
    <mergeCell ref="A1:T1"/>
  </mergeCells>
  <phoneticPr fontId="10" type="noConversion"/>
  <conditionalFormatting sqref="A24:A47">
    <cfRule type="expression" dxfId="11" priority="117">
      <formula>#REF!="Shortage"</formula>
    </cfRule>
    <cfRule type="expression" dxfId="10" priority="118">
      <formula>#REF!="Overage"</formula>
    </cfRule>
    <cfRule type="expression" dxfId="9" priority="119">
      <formula>#REF!="Match"</formula>
    </cfRule>
  </conditionalFormatting>
  <conditionalFormatting sqref="C24:D47">
    <cfRule type="expression" dxfId="8" priority="121">
      <formula>$C24="Under Investigation"</formula>
    </cfRule>
  </conditionalFormatting>
  <conditionalFormatting sqref="M12:O23 M48:O504">
    <cfRule type="expression" dxfId="7" priority="3">
      <formula>$M12="Shortage"</formula>
    </cfRule>
    <cfRule type="expression" dxfId="6" priority="4">
      <formula>$M12="Overage"</formula>
    </cfRule>
    <cfRule type="expression" dxfId="5" priority="5">
      <formula>$M12="Match"</formula>
    </cfRule>
  </conditionalFormatting>
  <conditionalFormatting sqref="N4:P11">
    <cfRule type="expression" dxfId="4" priority="110">
      <formula>$N4="Shortage"</formula>
    </cfRule>
    <cfRule type="expression" dxfId="3" priority="111">
      <formula>$N4="Overage"</formula>
    </cfRule>
    <cfRule type="expression" dxfId="2" priority="112">
      <formula>$N4="Match"</formula>
    </cfRule>
  </conditionalFormatting>
  <conditionalFormatting sqref="Q12:R23 Q48:R504">
    <cfRule type="expression" dxfId="1" priority="6">
      <formula>$Q12="Under Investigation"</formula>
    </cfRule>
  </conditionalFormatting>
  <conditionalFormatting sqref="R4:R11 T4:T11">
    <cfRule type="expression" dxfId="0" priority="113">
      <formula>$R4="Under Investigation"</formula>
    </cfRule>
  </conditionalFormatting>
  <dataValidations xWindow="932" yWindow="434" count="3">
    <dataValidation type="list" showInputMessage="1" showErrorMessage="1" errorTitle="Invalid entry" error="Please select a value from the list." promptTitle="Adjustment Status" prompt="Has the Stock Card been corrected to reflect the physical count?" sqref="R4:R11 C24:D47 Q12:R23 Q48:R504" xr:uid="{00000000-0002-0000-0A00-000002000000}">
      <formula1>"No Adjustment Needed,Adjusted,Under Investigation"</formula1>
      <formula2>0</formula2>
    </dataValidation>
    <dataValidation type="list" showInputMessage="1" showErrorMessage="1" errorTitle="Invalid entry" error="Please select a value from the list." promptTitle="Root Cause" prompt="Reason for any variance found." sqref="Q4:Q11 B24:B47 P12:P23 P48:P504" xr:uid="{00000000-0002-0000-0A00-000001000000}">
      <formula1>"N/A,Miscount,Data Entry Error,Damage Not Recorded,Theft/Loss Suspected,Location Mismatch"</formula1>
      <formula2>0</formula2>
    </dataValidation>
    <dataValidation type="list" showInputMessage="1" showErrorMessage="1" sqref="P4:P11" xr:uid="{487D0FC7-A65C-4130-8F61-FCCC2760540F}">
      <formula1>"Fikri,Fajar"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xWindow="932" yWindow="434" count="3">
        <x14:dataValidation type="list" showInputMessage="1" showErrorMessage="1" errorTitle="Invalid entry" error="Please select a value from the list." promptTitle="Material Code" prompt="Select a valid material code from the master." xr:uid="{00000000-0002-0000-0A00-000000000000}">
          <x14:formula1>
            <xm:f>'01_Master_Material'!$A$4:$A$23</xm:f>
          </x14:formula1>
          <x14:formula2>
            <xm:f>0</xm:f>
          </x14:formula2>
          <xm:sqref>D4:D23 D48:D504</xm:sqref>
        </x14:dataValidation>
        <x14:dataValidation type="list" showInputMessage="1" showErrorMessage="1" xr:uid="{66772D9F-AFC4-4B24-82B4-A171053F5876}">
          <x14:formula1>
            <xm:f>'03_Master_Location'!$A$4:$A$24</xm:f>
          </x14:formula1>
          <xm:sqref>G4:G11</xm:sqref>
        </x14:dataValidation>
        <x14:dataValidation type="list" showInputMessage="1" showErrorMessage="1" xr:uid="{636652A5-DCBA-4CFD-8D58-E6F01D2B64E6}">
          <x14:formula1>
            <xm:f>'08_Picking_List'!$Q$4:$Q$15</xm:f>
          </x14:formula1>
          <xm:sqref>O4:O11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sheetData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B70C100-15C8-4EC8-BBDC-E5994EB0AE6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01_Master_Material</vt:lpstr>
      <vt:lpstr>02_Master_Supplier</vt:lpstr>
      <vt:lpstr>03_Master_Location</vt:lpstr>
      <vt:lpstr>04_Purchase_Order</vt:lpstr>
      <vt:lpstr>05_Goods_Receipt</vt:lpstr>
      <vt:lpstr>06_Put_Away</vt:lpstr>
      <vt:lpstr>07_Material_Request</vt:lpstr>
      <vt:lpstr>08_Picking_List</vt:lpstr>
      <vt:lpstr>09_Goods_Issue</vt:lpstr>
      <vt:lpstr>10_Stock_Card</vt:lpstr>
      <vt:lpstr>11_Cycle_Count</vt:lpstr>
      <vt:lpstr>12_Dashboard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Fikri F</cp:lastModifiedBy>
  <cp:revision>1</cp:revision>
  <dcterms:created xsi:type="dcterms:W3CDTF">2026-07-24T04:03:03Z</dcterms:created>
  <dcterms:modified xsi:type="dcterms:W3CDTF">2026-08-14T02:00:15Z</dcterms:modified>
  <dc:language>en-US</dc:language>
</cp:coreProperties>
</file>